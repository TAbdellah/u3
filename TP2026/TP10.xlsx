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ahto\OneDrive\Documents\GitHub\u3\TP2026\"/>
    </mc:Choice>
  </mc:AlternateContent>
  <xr:revisionPtr revIDLastSave="0" documentId="13_ncr:1_{89697D38-6879-4F5F-952B-4540FCF22F82}" xr6:coauthVersionLast="47" xr6:coauthVersionMax="47" xr10:uidLastSave="{00000000-0000-0000-0000-000000000000}"/>
  <bookViews>
    <workbookView xWindow="-108" yWindow="-108" windowWidth="23256" windowHeight="12456" tabRatio="863" xr2:uid="{00000000-000D-0000-FFFF-FFFF00000000}"/>
  </bookViews>
  <sheets>
    <sheet name="TP" sheetId="1" r:id="rId1"/>
    <sheet name="TP SUP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2" l="1"/>
  <c r="C1" i="2"/>
  <c r="J66" i="1"/>
  <c r="K49" i="1"/>
  <c r="J67" i="1"/>
  <c r="J68" i="1"/>
  <c r="J69" i="1"/>
  <c r="J70" i="1"/>
  <c r="J71" i="1"/>
  <c r="J63" i="1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17" i="2"/>
  <c r="J17" i="2"/>
  <c r="K16" i="2"/>
  <c r="J16" i="2"/>
  <c r="K15" i="2"/>
  <c r="J15" i="2"/>
  <c r="K14" i="2"/>
  <c r="J14" i="2"/>
  <c r="H75" i="1"/>
  <c r="D75" i="1"/>
  <c r="B75" i="1"/>
  <c r="K51" i="1"/>
  <c r="K50" i="1"/>
  <c r="K48" i="1"/>
  <c r="K47" i="1"/>
  <c r="K46" i="1"/>
  <c r="K32" i="1"/>
  <c r="K31" i="1"/>
  <c r="K30" i="1"/>
  <c r="K29" i="1"/>
  <c r="K28" i="1"/>
  <c r="I13" i="1"/>
  <c r="I12" i="1"/>
  <c r="J13" i="1" l="1"/>
  <c r="L51" i="1"/>
  <c r="J12" i="1"/>
  <c r="L49" i="1"/>
  <c r="J65" i="1"/>
  <c r="J64" i="1"/>
  <c r="L28" i="1"/>
  <c r="L29" i="1"/>
  <c r="L30" i="1"/>
  <c r="L46" i="1"/>
  <c r="L48" i="1"/>
  <c r="L47" i="1"/>
  <c r="E78" i="1" l="1"/>
  <c r="F78" i="1" s="1"/>
  <c r="G78" i="1" s="1"/>
  <c r="L31" i="1"/>
  <c r="L32" i="1"/>
  <c r="L50" i="1"/>
  <c r="E80" i="1" s="1"/>
  <c r="E79" i="1" l="1"/>
  <c r="F79" i="1" s="1"/>
  <c r="G79" i="1" s="1"/>
  <c r="F80" i="1"/>
  <c r="G80" i="1" s="1"/>
  <c r="E81" i="1" l="1"/>
  <c r="F81" i="1" s="1"/>
  <c r="G81" i="1" l="1"/>
  <c r="G84" i="1" s="1"/>
  <c r="F8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Abdellah TAHTOH</author>
  </authors>
  <commentList>
    <comment ref="A4" authorId="0" shapeId="0" xr:uid="{9E68D656-7E28-4BED-B3A2-D6B7498D74CF}">
      <text>
        <r>
          <rPr>
            <b/>
            <sz val="9"/>
            <color indexed="81"/>
            <rFont val="Tahoma"/>
          </rPr>
          <t>📖 الوضعية: يمرّ زبون عبر صندوق الأداء. احسب مبلغ كل سلعة (الثمن × الكمية) ثم المجموع الإجمالي للوصل. اكتب صيغة واحدة فقط ثم انسخها!</t>
        </r>
      </text>
    </comment>
    <comment ref="A5" authorId="0" shapeId="0" xr:uid="{F0B50828-307D-49DB-83F9-6551EE4312B9}">
      <text>
        <r>
          <rPr>
            <b/>
            <sz val="9"/>
            <color indexed="81"/>
            <rFont val="Tahoma"/>
          </rPr>
          <t>🔵 نوع المرجع: نسبي — لأن كل سطر له ثمنه الخاص وكميته الخاصة.</t>
        </r>
      </text>
    </comment>
    <comment ref="B8" authorId="0" shapeId="0" xr:uid="{02BEE335-2CCF-4CAB-9FB8-08673B7ADA14}">
      <text>
        <r>
          <rPr>
            <b/>
            <sz val="9"/>
            <color indexed="81"/>
            <rFont val="Tahoma"/>
          </rPr>
          <t>المنتوج</t>
        </r>
      </text>
    </comment>
    <comment ref="C8" authorId="0" shapeId="0" xr:uid="{71B60A7C-DBB4-4EFA-A065-7B8559106F7F}">
      <text>
        <r>
          <rPr>
            <b/>
            <sz val="9"/>
            <color indexed="81"/>
            <rFont val="Tahoma"/>
          </rPr>
          <t>الرواق</t>
        </r>
      </text>
    </comment>
    <comment ref="D8" authorId="0" shapeId="0" xr:uid="{633C9472-EB3A-4A9F-8960-60BE311849EE}">
      <text>
        <r>
          <rPr>
            <b/>
            <sz val="9"/>
            <color indexed="81"/>
            <rFont val="Tahoma"/>
          </rPr>
          <t>الثمن الوحدوي (درهم)</t>
        </r>
      </text>
    </comment>
    <comment ref="E8" authorId="0" shapeId="0" xr:uid="{B477F4E3-AE15-4B73-849C-BB6920E23A62}">
      <text>
        <r>
          <rPr>
            <b/>
            <sz val="9"/>
            <color indexed="81"/>
            <rFont val="Tahoma"/>
          </rPr>
          <t>الكمية</t>
        </r>
      </text>
    </comment>
    <comment ref="F8" authorId="0" shapeId="0" xr:uid="{BF50B2AD-208B-41E1-B099-A49CDDFC5A98}">
      <text>
        <r>
          <rPr>
            <b/>
            <sz val="9"/>
            <color indexed="81"/>
            <rFont val="Tahoma"/>
          </rPr>
          <t>💰 المبلغ (درهم)</t>
        </r>
      </text>
    </comment>
    <comment ref="B17" authorId="0" shapeId="0" xr:uid="{49DEB1A7-4C0E-4B07-8B84-8020F92B7499}">
      <text>
        <r>
          <rPr>
            <b/>
            <sz val="9"/>
            <color indexed="81"/>
            <rFont val="Tahoma"/>
          </rPr>
          <t>المجموع الواجب أداؤه</t>
        </r>
      </text>
    </comment>
    <comment ref="A21" authorId="0" shapeId="0" xr:uid="{AFDAD97B-33D0-438F-A0E7-F89AA2855EF5}">
      <text>
        <r>
          <rPr>
            <b/>
            <sz val="9"/>
            <color indexed="81"/>
            <rFont val="Tahoma"/>
          </rPr>
          <t>📖 الوضعية: الطاولة 5 طلبت عدة أطباق. لكل طبق احسب: المبلغ قبل الضريبة (HT)، الضريبة على القيمة المضافة (10%)، والمبلغ شامل الضريبة (TTC). نسبة الضريبة نفسها لجميع الأصناف.</t>
        </r>
      </text>
    </comment>
    <comment ref="A22" authorId="0" shapeId="0" xr:uid="{CA94E971-CAE4-4485-A7BB-18ADA9A6C3D4}">
      <text>
        <r>
          <rPr>
            <b/>
            <sz val="9"/>
            <color indexed="81"/>
            <rFont val="Tahoma"/>
          </rPr>
          <t>🟢 المرجع المطلق للضريبة — لأن النسبة ثابتة لجميع الأطباق.</t>
        </r>
      </text>
    </comment>
    <comment ref="B24" authorId="0" shapeId="0" xr:uid="{6E03D6BE-A3A1-4078-8C1C-2A530571D6A4}">
      <text>
        <r>
          <rPr>
            <b/>
            <sz val="9"/>
            <color indexed="81"/>
            <rFont val="Tahoma"/>
          </rPr>
          <t>نسبة الضريبة على القيمة المضافة:</t>
        </r>
      </text>
    </comment>
    <comment ref="B26" authorId="0" shapeId="0" xr:uid="{FAEB69FE-7A63-477D-896E-2DC9BA522E7E}">
      <text>
        <r>
          <rPr>
            <b/>
            <sz val="9"/>
            <color indexed="81"/>
            <rFont val="Tahoma"/>
          </rPr>
          <t>الطبق المطلوب</t>
        </r>
      </text>
    </comment>
    <comment ref="C26" authorId="0" shapeId="0" xr:uid="{01D3A457-ACBF-4E24-9480-5BABB0CB76BA}">
      <text>
        <r>
          <rPr>
            <b/>
            <sz val="9"/>
            <color indexed="81"/>
            <rFont val="Tahoma"/>
          </rPr>
          <t>الثمن قبل الضريبة (درهم)</t>
        </r>
      </text>
    </comment>
    <comment ref="D26" authorId="0" shapeId="0" xr:uid="{CB1B5546-7B19-49C2-BEC5-034ADC8958D2}">
      <text>
        <r>
          <rPr>
            <b/>
            <sz val="9"/>
            <color indexed="81"/>
            <rFont val="Tahoma"/>
          </rPr>
          <t>الكمية</t>
        </r>
      </text>
    </comment>
    <comment ref="E26" authorId="0" shapeId="0" xr:uid="{553AFC52-DA9E-4664-854D-696918336148}">
      <text>
        <r>
          <rPr>
            <b/>
            <sz val="9"/>
            <color indexed="81"/>
            <rFont val="Tahoma"/>
          </rPr>
          <t>المبلغ قبل الضريبة (درهم)</t>
        </r>
      </text>
    </comment>
    <comment ref="F26" authorId="0" shapeId="0" xr:uid="{34B7E46C-D3AA-4B73-8DD0-C0CECAF80FF7}">
      <text>
        <r>
          <rPr>
            <b/>
            <sz val="9"/>
            <color indexed="81"/>
            <rFont val="Tahoma"/>
          </rPr>
          <t>الضريبة 10٪ (درهم)</t>
        </r>
      </text>
    </comment>
    <comment ref="G26" authorId="0" shapeId="0" xr:uid="{05D6B02F-A319-4426-B50D-2BE8372F8516}">
      <text>
        <r>
          <rPr>
            <b/>
            <sz val="9"/>
            <color indexed="81"/>
            <rFont val="Tahoma"/>
          </rPr>
          <t>المبلغ شامل الضريبة (درهم)</t>
        </r>
      </text>
    </comment>
    <comment ref="B35" authorId="0" shapeId="0" xr:uid="{9A3C548B-26AA-4540-9F42-8BFB07A62F35}">
      <text>
        <r>
          <rPr>
            <b/>
            <sz val="9"/>
            <color indexed="81"/>
            <rFont val="Tahoma"/>
          </rPr>
          <t>💰 المجموع الكلي للطاولة 5</t>
        </r>
      </text>
    </comment>
    <comment ref="A38" authorId="0" shapeId="0" xr:uid="{EFE660C8-5247-4236-A7D6-5DD0C51582CD}">
      <text>
        <r>
          <rPr>
            <b/>
            <sz val="9"/>
            <color indexed="81"/>
            <rFont val="Tahoma"/>
          </rPr>
          <t>📖 الوضعية: ترغب عائلة في تحليل استهلاكها للكهرباء. كل جهاز له قدرته الكهربائية وساعات استخدامه. سعر الكيلوواط/ساعة ثابت وموحد.</t>
        </r>
      </text>
    </comment>
    <comment ref="A39" authorId="0" shapeId="0" xr:uid="{3414FD03-381F-494F-8C6C-0A2A49CD6944}">
      <text>
        <r>
          <rPr>
            <b/>
            <sz val="9"/>
            <color indexed="81"/>
            <rFont val="Tahoma"/>
          </rPr>
          <t>🟢 المرجع المطلق لسعر الكيلوواط/ساعة — لأنه ثابت لجميع الأجهزة.</t>
        </r>
      </text>
    </comment>
    <comment ref="B41" authorId="0" shapeId="0" xr:uid="{8D467F43-3CF7-4393-A22B-345888539C9D}">
      <text>
        <r>
          <rPr>
            <b/>
            <sz val="9"/>
            <color indexed="81"/>
            <rFont val="Tahoma"/>
          </rPr>
          <t>سعر الكيلوواط/ساعة:</t>
        </r>
      </text>
    </comment>
    <comment ref="B44" authorId="0" shapeId="0" xr:uid="{618D374A-179B-4FF1-BEA3-8A6D0E2761F8}">
      <text>
        <r>
          <rPr>
            <b/>
            <sz val="9"/>
            <color indexed="81"/>
            <rFont val="Tahoma"/>
          </rPr>
          <t>الجهاز</t>
        </r>
      </text>
    </comment>
    <comment ref="C44" authorId="0" shapeId="0" xr:uid="{920993DF-5FBC-4058-9256-1C1AF63BA703}">
      <text>
        <r>
          <rPr>
            <b/>
            <sz val="9"/>
            <color indexed="81"/>
            <rFont val="Tahoma"/>
          </rPr>
          <t>القدرة (واط)</t>
        </r>
      </text>
    </comment>
    <comment ref="D44" authorId="0" shapeId="0" xr:uid="{B3B4A4AE-3A5C-4E9C-A26D-B4E11A593611}">
      <text>
        <r>
          <rPr>
            <b/>
            <sz val="9"/>
            <color indexed="81"/>
            <rFont val="Tahoma"/>
          </rPr>
          <t>عدد الوحدات</t>
        </r>
      </text>
    </comment>
    <comment ref="E44" authorId="0" shapeId="0" xr:uid="{DF677633-076B-42ED-8996-EE4A38C8A396}">
      <text>
        <r>
          <rPr>
            <b/>
            <sz val="9"/>
            <color indexed="81"/>
            <rFont val="Tahoma"/>
          </rPr>
          <t>ساعات/اليوم</t>
        </r>
      </text>
    </comment>
    <comment ref="F44" authorId="0" shapeId="0" xr:uid="{5C55EC30-7F11-4874-B21D-D78CD4AC5D71}">
      <text>
        <r>
          <rPr>
            <b/>
            <sz val="9"/>
            <color indexed="81"/>
            <rFont val="Tahoma"/>
          </rPr>
          <t>الاستهلاك ك.و.س/اليوم</t>
        </r>
      </text>
    </comment>
    <comment ref="G44" authorId="0" shapeId="0" xr:uid="{115BD8D9-6D28-409C-9D8D-C218EAFB79A0}">
      <text>
        <r>
          <rPr>
            <b/>
            <sz val="9"/>
            <color indexed="81"/>
            <rFont val="Tahoma"/>
          </rPr>
          <t>التكلفة/اليوم (درهم)</t>
        </r>
      </text>
    </comment>
    <comment ref="H44" authorId="0" shapeId="0" xr:uid="{BF94D73F-ACF8-442C-AC9B-959DB831304E}">
      <text>
        <r>
          <rPr>
            <b/>
            <sz val="9"/>
            <color indexed="81"/>
            <rFont val="Tahoma"/>
          </rPr>
          <t>التكلفة/الشهر (درهم)</t>
        </r>
      </text>
    </comment>
    <comment ref="A59" authorId="0" shapeId="0" xr:uid="{54349ACE-E5AF-4864-8A36-1603FB0C1EEC}">
      <text>
        <r>
          <rPr>
            <b/>
            <sz val="9"/>
            <color indexed="81"/>
            <rFont val="Tahoma"/>
          </rPr>
          <t>📖 الوضعية: أنشئ جدولًا 9×9 باستخدام صيغة واحدة فقط في الخانة C97، ثم انسخها لبقية الجدول.</t>
        </r>
      </text>
    </comment>
    <comment ref="A60" authorId="0" shapeId="0" xr:uid="{4DF8D733-9C16-4A8B-AC48-5A3FA8C5E869}">
      <text>
        <r>
          <rPr>
            <b/>
            <sz val="9"/>
            <color indexed="81"/>
            <rFont val="Tahoma"/>
          </rPr>
          <t>🟢 المرجع المطلق لسعر الكيلوواط/ساعة — لأنه ثابت لجميع الأجهزة.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Abdellah TAHTOH</author>
  </authors>
  <commentList>
    <comment ref="A6" authorId="0" shapeId="0" xr:uid="{A879D491-C17F-445B-B31B-F2918A508A82}">
      <text>
        <r>
          <rPr>
            <b/>
            <sz val="9"/>
            <color indexed="81"/>
            <rFont val="Tahoma"/>
          </rPr>
          <t>📖 الوضعية: اجتاز التلاميذ 3 اختبارات. المعاملات (1، 2، 3) مخزنة في خانات ثابتة. يجب عليك حساب المعدل المُرجَّح لكل تلميذ باستعمال صيغة واحدة فقط.</t>
        </r>
      </text>
    </comment>
    <comment ref="A7" authorId="0" shapeId="0" xr:uid="{6B8F8A92-200A-4CEF-8E99-C0880FA7BCF5}">
      <text>
        <r>
          <rPr>
            <b/>
            <sz val="9"/>
            <color indexed="81"/>
            <rFont val="Tahoma"/>
          </rPr>
          <t>🟢 نوع المرجع: مطلق — لأن المعاملات لا تتغير أبداً.</t>
        </r>
      </text>
    </comment>
    <comment ref="B9" authorId="0" shapeId="0" xr:uid="{2CBA0A2E-5824-4516-A1DD-AB121C17A424}">
      <text>
        <r>
          <rPr>
            <b/>
            <sz val="9"/>
            <color indexed="81"/>
            <rFont val="Tahoma"/>
          </rPr>
          <t>معامل الفرض 1</t>
        </r>
      </text>
    </comment>
    <comment ref="D9" authorId="0" shapeId="0" xr:uid="{44BEA337-D449-407F-AB11-F4A636F24581}">
      <text>
        <r>
          <rPr>
            <b/>
            <sz val="9"/>
            <color indexed="81"/>
            <rFont val="Tahoma"/>
          </rPr>
          <t>معامل الفرض2</t>
        </r>
      </text>
    </comment>
    <comment ref="F9" authorId="0" shapeId="0" xr:uid="{7D62D936-FB9F-4190-8EC7-1D2F48DA9563}">
      <text>
        <r>
          <rPr>
            <b/>
            <sz val="9"/>
            <color indexed="81"/>
            <rFont val="Tahoma"/>
          </rPr>
          <t>معامل الامتحان</t>
        </r>
      </text>
    </comment>
    <comment ref="C11" authorId="0" shapeId="0" xr:uid="{02B8F74B-8C0D-4140-896B-5F2033D92EBB}">
      <text>
        <r>
          <rPr>
            <b/>
            <sz val="9"/>
            <color indexed="81"/>
            <rFont val="Tahoma"/>
          </rPr>
          <t>الفرض1</t>
        </r>
      </text>
    </comment>
    <comment ref="D11" authorId="0" shapeId="0" xr:uid="{DF65243D-87ED-4FB9-AD34-EF13ED7A4264}">
      <text>
        <r>
          <rPr>
            <b/>
            <sz val="9"/>
            <color indexed="81"/>
            <rFont val="Tahoma"/>
          </rPr>
          <t>الفرض2</t>
        </r>
      </text>
    </comment>
    <comment ref="E11" authorId="0" shapeId="0" xr:uid="{EA9D71DD-3C91-48C2-A588-656B176484F5}">
      <text>
        <r>
          <rPr>
            <b/>
            <sz val="9"/>
            <color indexed="81"/>
            <rFont val="Tahoma"/>
          </rPr>
          <t>الامتحان</t>
        </r>
      </text>
    </comment>
    <comment ref="F11" authorId="0" shapeId="0" xr:uid="{E0543489-F10A-454C-91AB-F186E66BABBF}">
      <text>
        <r>
          <rPr>
            <b/>
            <sz val="9"/>
            <color indexed="81"/>
            <rFont val="Tahoma"/>
          </rPr>
          <t>المعدل المرجح</t>
        </r>
      </text>
    </comment>
    <comment ref="C21" authorId="0" shapeId="0" xr:uid="{62B909B9-79D3-432E-8010-61009580444C}">
      <text>
        <r>
          <rPr>
            <b/>
            <sz val="9"/>
            <color indexed="81"/>
            <rFont val="Tahoma"/>
          </rPr>
          <t xml:space="preserve"> الرتبة الأولى في القسم</t>
        </r>
      </text>
    </comment>
    <comment ref="D21" authorId="0" shapeId="0" xr:uid="{816FAAA9-C631-4F38-AB8B-E809DD41F004}">
      <text>
        <r>
          <rPr>
            <b/>
            <sz val="9"/>
            <color indexed="81"/>
            <rFont val="Tahoma"/>
          </rPr>
          <t xml:space="preserve"> الرتبة الاخيرة في القسم</t>
        </r>
      </text>
    </comment>
    <comment ref="E21" authorId="0" shapeId="0" xr:uid="{9FCB38A2-A2A0-4BD8-8851-102E93C1EE2A}">
      <text>
        <r>
          <rPr>
            <b/>
            <sz val="9"/>
            <color indexed="81"/>
            <rFont val="Tahoma"/>
          </rPr>
          <t>معدل القسم</t>
        </r>
      </text>
    </comment>
    <comment ref="A26" authorId="0" shapeId="0" xr:uid="{DD6320D7-CC2F-4DCD-94D1-798AB28E1BA8}">
      <text>
        <r>
          <rPr>
            <b/>
            <sz val="9"/>
            <color indexed="81"/>
            <rFont val="Tahoma"/>
          </rPr>
          <t>📖 الوضعية: الشركة تمنح مكافآت حسب الرتبة وربع السنة. املأ جدول الرتبة × الربع باستخدام صيغة واحدة فقط ثم انسخها لبقية الجدول.</t>
        </r>
      </text>
    </comment>
    <comment ref="B29" authorId="0" shapeId="0" xr:uid="{222EF82E-45BD-4560-8F5F-6AD92FA9E281}">
      <text>
        <r>
          <rPr>
            <b/>
            <sz val="9"/>
            <color indexed="81"/>
            <rFont val="Tahoma"/>
          </rPr>
          <t>الرتبة</t>
        </r>
      </text>
    </comment>
    <comment ref="C29" authorId="0" shapeId="0" xr:uid="{D21318D4-6BB9-4B18-9013-3B2E028C411F}">
      <text>
        <r>
          <rPr>
            <b/>
            <sz val="9"/>
            <color indexed="81"/>
            <rFont val="Tahoma"/>
          </rPr>
          <t>الراتب الأساسي (درهم)</t>
        </r>
      </text>
    </comment>
    <comment ref="B37" authorId="0" shapeId="0" xr:uid="{1D3A84C7-F891-40A0-902C-53BA6447DF00}">
      <text>
        <r>
          <rPr>
            <b/>
            <sz val="9"/>
            <color indexed="81"/>
            <rFont val="Tahoma"/>
          </rPr>
          <t>مجموع المكافآت لكل ربع سنة</t>
        </r>
      </text>
    </comment>
  </commentList>
</comments>
</file>

<file path=xl/sharedStrings.xml><?xml version="1.0" encoding="utf-8"?>
<sst xmlns="http://schemas.openxmlformats.org/spreadsheetml/2006/main" count="281" uniqueCount="127">
  <si>
    <t>🛒  Exercice 01 — CAISSIER(ÈRE) AU SUPERMARCHÉ</t>
  </si>
  <si>
    <t>🔵 Type de référence : RELATIVE   —  Car chaque ligne a son propre prix et sa propre quantité.</t>
  </si>
  <si>
    <t>Produit</t>
  </si>
  <si>
    <t>Rayon</t>
  </si>
  <si>
    <t>Prix unitaire (DH)</t>
  </si>
  <si>
    <t>Quantité</t>
  </si>
  <si>
    <t>💰 Montant (DH)</t>
  </si>
  <si>
    <t>Pain de mie</t>
  </si>
  <si>
    <t>Boulangerie</t>
  </si>
  <si>
    <t>?</t>
  </si>
  <si>
    <t>Lait 1L</t>
  </si>
  <si>
    <t>Crémerie</t>
  </si>
  <si>
    <t>Correction d'Exercice 01</t>
  </si>
  <si>
    <t>Yaourts ×4</t>
  </si>
  <si>
    <t>Question</t>
  </si>
  <si>
    <t>✅/❌</t>
  </si>
  <si>
    <t>Tomates 1kg</t>
  </si>
  <si>
    <t>Légumes</t>
  </si>
  <si>
    <t>Poulet 1kg</t>
  </si>
  <si>
    <t>Boucherie</t>
  </si>
  <si>
    <t>Jus d'orange</t>
  </si>
  <si>
    <t>Boissons</t>
  </si>
  <si>
    <t>Biscuits</t>
  </si>
  <si>
    <t>Épicerie</t>
  </si>
  <si>
    <t>TOTAL À PAYER</t>
  </si>
  <si>
    <t>📖 Situation : Les élèves ont passé 3 épreuves. Les coefficients (1, 2, 3) sont stockés en cellules fixes. Tu dois calculer la moyenne pondérée de chacun avec UNE seule formule.</t>
  </si>
  <si>
    <t>🟢 Type de référence : ABSOLUE  —  Les coefficients ne changent JAMAIS.</t>
  </si>
  <si>
    <t>Coeff. Examen :</t>
  </si>
  <si>
    <t>Élève</t>
  </si>
  <si>
    <t>Moyenne pondérée</t>
  </si>
  <si>
    <t>Ahmed</t>
  </si>
  <si>
    <t>Correction d'Exercice 02</t>
  </si>
  <si>
    <t>Sara</t>
  </si>
  <si>
    <t>Karim</t>
  </si>
  <si>
    <t>Nadia</t>
  </si>
  <si>
    <t>Youssef</t>
  </si>
  <si>
    <t>Fatima</t>
  </si>
  <si>
    <t>Omar</t>
  </si>
  <si>
    <t>MOYENNE classe</t>
  </si>
  <si>
    <t>🟢 Référence ABSOLUE pour la TVA  —  Le taux est fixe pour TOUS les plats.</t>
  </si>
  <si>
    <t>Taux TVA :</t>
  </si>
  <si>
    <t>Plat commandé</t>
  </si>
  <si>
    <t>Prix HT (DH)</t>
  </si>
  <si>
    <t>Qté</t>
  </si>
  <si>
    <t>Montant HT (DH)</t>
  </si>
  <si>
    <t>TVA 10% (DH)</t>
  </si>
  <si>
    <t>Montant TTC (DH)</t>
  </si>
  <si>
    <t>Correction d'Exercice 03</t>
  </si>
  <si>
    <t>Pizza Margherita</t>
  </si>
  <si>
    <t>Salade César</t>
  </si>
  <si>
    <t xml:space="preserve">Tajine </t>
  </si>
  <si>
    <t xml:space="preserve">Rfissa </t>
  </si>
  <si>
    <t xml:space="preserve">Harira </t>
  </si>
  <si>
    <t>Eau minérale</t>
  </si>
  <si>
    <t>💰  TOTAL ADDITION TABLE 5</t>
  </si>
  <si>
    <t>📖 Situation : L'entreprise verse des primes selon le grade ET le trimestre. Remplis le tableau Grade × Trimestre avec UNE SEULE formule copiée dans tout le tableau !</t>
  </si>
  <si>
    <t xml:space="preserve">🟠 Référence MIXTE   </t>
  </si>
  <si>
    <t>Grade</t>
  </si>
  <si>
    <t>Salaire base (DH)</t>
  </si>
  <si>
    <t>Correction d'Exercice 04</t>
  </si>
  <si>
    <t>Junior A</t>
  </si>
  <si>
    <t>Junior B</t>
  </si>
  <si>
    <t>Senior A</t>
  </si>
  <si>
    <t>Senior B</t>
  </si>
  <si>
    <t>Expert A</t>
  </si>
  <si>
    <t>Expert B</t>
  </si>
  <si>
    <t>TOTAL PRIMES PAR TRIMESTRE</t>
  </si>
  <si>
    <t>🟢 Référence ABSOLUE pour le prix kWh</t>
  </si>
  <si>
    <t>Prix du kWh :</t>
  </si>
  <si>
    <t>Appareil</t>
  </si>
  <si>
    <t>Puissance (W)</t>
  </si>
  <si>
    <t>Nb unités</t>
  </si>
  <si>
    <t>Heures/jour</t>
  </si>
  <si>
    <t>Conso. kWh/jour</t>
  </si>
  <si>
    <t>Coût/jour (DH)</t>
  </si>
  <si>
    <t>Coût/mois (DH)</t>
  </si>
  <si>
    <t>Réfrigérateur</t>
  </si>
  <si>
    <t>Climatiseur</t>
  </si>
  <si>
    <t>Télévision</t>
  </si>
  <si>
    <t>Lave-linge</t>
  </si>
  <si>
    <t>Chauffe-eau</t>
  </si>
  <si>
    <t>Éclairage LED</t>
  </si>
  <si>
    <t>Ordinateur</t>
  </si>
  <si>
    <t>Micro-ondes</t>
  </si>
  <si>
    <t>Appareil le plus coûteux (MAX) →</t>
  </si>
  <si>
    <t>Appareil le moins coûteux (MIN) →</t>
  </si>
  <si>
    <t>×</t>
  </si>
  <si>
    <t>Exercice</t>
  </si>
  <si>
    <t>Type de référence</t>
  </si>
  <si>
    <t>Questions</t>
  </si>
  <si>
    <t>Réponses correctes</t>
  </si>
  <si>
    <t>Pourcentage</t>
  </si>
  <si>
    <t>Note /20</t>
  </si>
  <si>
    <t>🛒 Exercice 01</t>
  </si>
  <si>
    <t>RELATIVE</t>
  </si>
  <si>
    <t>ABSOLUE</t>
  </si>
  <si>
    <t>MIXTE</t>
  </si>
  <si>
    <t>📈 TOTAL GÉNÉRAL</t>
  </si>
  <si>
    <t>2/1</t>
  </si>
  <si>
    <t>Nom complet</t>
  </si>
  <si>
    <t>Classe</t>
  </si>
  <si>
    <r>
      <t>…................................…......</t>
    </r>
    <r>
      <rPr>
        <b/>
        <sz val="11"/>
        <color theme="1"/>
        <rFont val="Calibri"/>
        <family val="2"/>
      </rPr>
      <t>+</t>
    </r>
    <r>
      <rPr>
        <b/>
        <sz val="6"/>
        <color theme="1"/>
        <rFont val="Calibri"/>
        <family val="2"/>
      </rPr>
      <t>..........................................</t>
    </r>
  </si>
  <si>
    <t>1er de la classe</t>
  </si>
  <si>
    <t>Le dernier de la classe</t>
  </si>
  <si>
    <t>Examen</t>
  </si>
  <si>
    <t>contrôle 1</t>
  </si>
  <si>
    <t>contrôle 2</t>
  </si>
  <si>
    <t xml:space="preserve">Date: </t>
  </si>
  <si>
    <t>Nom:</t>
  </si>
  <si>
    <t>Classe:</t>
  </si>
  <si>
    <t>Coeff. contrôle 1 :</t>
  </si>
  <si>
    <t>Coeff. contrôle 2 :</t>
  </si>
  <si>
    <t>خاص بالتصحيح الاتوماتيكي</t>
  </si>
  <si>
    <t>🍕  Exercice 02 — SERVEUR(EUSE) : CALCUL DE L'ADDITION</t>
  </si>
  <si>
    <t>🔌  Exercice 03 — FACTURE D'ÉLECTRICITÉ FAMILIALE</t>
  </si>
  <si>
    <t>✖️  Exercice 04 — TABLE DE MULTIPLICATION — Référence MIXTE</t>
  </si>
  <si>
    <t>🟢 Référence MIXTE</t>
  </si>
  <si>
    <t>📖 Situation : Crée une table 9×9 avec UNE SEULE formule en C66, puis copie-la dans tout le tableau</t>
  </si>
  <si>
    <t>Total du coût/mois (DH) →</t>
  </si>
  <si>
    <t>🔌 Exercice 03</t>
  </si>
  <si>
    <t>🍕 Exercice 02</t>
  </si>
  <si>
    <t>✖️ Exercice 04</t>
  </si>
  <si>
    <r>
      <t xml:space="preserve">📖 Situation : La table 5 a commandé plusieurs plats. Pour chaque plat calcule : Montant HT, TVA (10%), Montant TTC. Le taux TVA est identique pour toute la carte.
</t>
    </r>
    <r>
      <rPr>
        <b/>
        <sz val="14"/>
        <color theme="1"/>
        <rFont val="Calibri"/>
        <family val="2"/>
      </rPr>
      <t>Montant HT (DH) = Prix HT (DH) * Qté
TVA 10% (DH) = Taux TVA * Montant HT (DH)
Montant TTC (DH) = Montant HT (DH) + TVA 10% (DH)</t>
    </r>
  </si>
  <si>
    <r>
      <t xml:space="preserve">📖 Situation : Une famille veut analyser sa consommation électrique. Chaque appareil a sa puissance et ses heures d'utilisation. Le prix du kWh est unique et fixe.
</t>
    </r>
    <r>
      <rPr>
        <b/>
        <sz val="14"/>
        <color theme="1"/>
        <rFont val="Calibri"/>
        <family val="2"/>
      </rPr>
      <t>Conso. kWh/jour = (Puissance (W) * Nb unités * Heures/jour)/1000
Coût/jour (DH) = Conso. kWh/jour * Prix du kWh
Coût/mois (DH) = Coût/jour (DH) * 30</t>
    </r>
  </si>
  <si>
    <t>🏫  Exercice 01 — PROFESSEUR : CALCUL DES MOYENNES PONDÉRÉES</t>
  </si>
  <si>
    <t>💼  Exercice 02 — RH : TABLEAU DES PRIMES TRIMESTRIELLES</t>
  </si>
  <si>
    <t>📖 Situation : Un client passe en caisse. Calcule le montant de chaque article (Prix × Quantité) puis le total du ticket. 
UNE seule formule à écrire, puis copier !
💰 Montant (DH) = Prix unitaire (DH) * Quantité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</si>
</sst>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DH&quot;"/>
    <numFmt numFmtId="165" formatCode="#,##0&quot; DH&quot;"/>
  </numFmts>
  <fonts count="47" x14ac:knownFonts="1">
    <font>
      <sz val="11"/>
      <color theme="1"/>
      <name val="Calibri"/>
      <family val="2"/>
      <charset val="1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9C4"/>
      <name val="Calibri"/>
      <family val="2"/>
    </font>
    <font>
      <b/>
      <sz val="11"/>
      <color rgb="FFFFFFFF"/>
      <name val="Calibri"/>
      <family val="2"/>
    </font>
    <font>
      <b/>
      <sz val="13"/>
      <color rgb="FFFFFFFF"/>
      <name val="Calibri"/>
      <family val="2"/>
    </font>
    <font>
      <b/>
      <sz val="10"/>
      <color rgb="FF1B5E20"/>
      <name val="Calibri"/>
      <family val="2"/>
    </font>
    <font>
      <b/>
      <sz val="12"/>
      <color rgb="FFBF360C"/>
      <name val="Calibri"/>
      <family val="2"/>
    </font>
    <font>
      <b/>
      <sz val="12"/>
      <color rgb="FF004D40"/>
      <name val="Calibri"/>
      <family val="2"/>
    </font>
    <font>
      <sz val="14"/>
      <color rgb="FF00695C"/>
      <name val="Calibri"/>
      <family val="2"/>
    </font>
    <font>
      <sz val="14"/>
      <color rgb="FFBF360C"/>
      <name val="Calibri"/>
      <family val="2"/>
    </font>
    <font>
      <i/>
      <sz val="12"/>
      <color rgb="FFFF0000"/>
      <name val="Calibri"/>
      <family val="2"/>
    </font>
    <font>
      <b/>
      <i/>
      <sz val="12"/>
      <color rgb="FFFF0000"/>
      <name val="Calibri"/>
      <family val="2"/>
    </font>
    <font>
      <sz val="14"/>
      <color rgb="FF0D47A1"/>
      <name val="Calibri"/>
      <family val="2"/>
    </font>
    <font>
      <sz val="12"/>
      <color rgb="FF1565C0"/>
      <name val="Calibri"/>
      <family val="2"/>
    </font>
    <font>
      <sz val="14"/>
      <color rgb="FF1B5E20"/>
      <name val="Calibri"/>
      <family val="2"/>
    </font>
    <font>
      <sz val="12"/>
      <color rgb="FF2E7D32"/>
      <name val="Calibri"/>
      <family val="2"/>
    </font>
    <font>
      <sz val="12"/>
      <color rgb="FFE65100"/>
      <name val="Calibri"/>
      <family val="2"/>
    </font>
    <font>
      <b/>
      <sz val="12"/>
      <color theme="0"/>
      <name val="Calibri"/>
      <family val="2"/>
    </font>
    <font>
      <sz val="12"/>
      <color rgb="FF6A1B9A"/>
      <name val="Calibri"/>
      <family val="2"/>
    </font>
    <font>
      <sz val="14"/>
      <color rgb="FF4A148C"/>
      <name val="Calibri"/>
      <family val="2"/>
    </font>
    <font>
      <b/>
      <sz val="14"/>
      <color theme="0"/>
      <name val="Calibri"/>
      <family val="2"/>
    </font>
    <font>
      <sz val="14"/>
      <color theme="1"/>
      <name val="Calibri"/>
      <family val="2"/>
    </font>
    <font>
      <b/>
      <sz val="14"/>
      <color rgb="FFC62828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2"/>
      <color rgb="FFFFFFFF"/>
      <name val="Calibri"/>
    </font>
    <font>
      <b/>
      <sz val="11"/>
      <name val="Calibri"/>
    </font>
    <font>
      <b/>
      <sz val="12"/>
      <color rgb="FFC00000"/>
      <name val="Calibri"/>
    </font>
    <font>
      <b/>
      <sz val="14"/>
      <color rgb="FF006100"/>
      <name val="Calibri"/>
    </font>
    <font>
      <b/>
      <sz val="18"/>
      <name val="Calibri"/>
      <family val="2"/>
    </font>
    <font>
      <b/>
      <sz val="18"/>
      <color rgb="FFC00000"/>
      <name val="Calibri"/>
      <family val="2"/>
    </font>
    <font>
      <b/>
      <sz val="18"/>
      <color rgb="FF006100"/>
      <name val="Calibri"/>
      <family val="2"/>
    </font>
    <font>
      <sz val="8"/>
      <name val="Calibri"/>
      <family val="2"/>
      <charset val="1"/>
    </font>
    <font>
      <b/>
      <sz val="14"/>
      <color theme="1"/>
      <name val="Calibri"/>
      <family val="2"/>
    </font>
    <font>
      <b/>
      <sz val="6"/>
      <color theme="1"/>
      <name val="Calibri"/>
      <family val="2"/>
    </font>
    <font>
      <b/>
      <sz val="11"/>
      <color rgb="FFFF0000"/>
      <name val="Calibri"/>
      <family val="2"/>
    </font>
    <font>
      <b/>
      <sz val="9"/>
      <color indexed="81"/>
      <name val="Tahoma"/>
    </font>
    <font>
      <b/>
      <sz val="20"/>
      <color theme="1"/>
      <name val="Calibri"/>
      <family val="2"/>
    </font>
    <font>
      <b/>
      <sz val="11"/>
      <color rgb="FFC62828"/>
      <name val="Calibri"/>
      <family val="2"/>
    </font>
    <font>
      <b/>
      <sz val="12"/>
      <color rgb="FFFFFF00"/>
      <name val="Calibri"/>
      <family val="2"/>
    </font>
    <font>
      <b/>
      <sz val="11"/>
      <name val="Calibri"/>
      <family val="2"/>
    </font>
    <font>
      <sz val="14"/>
      <color rgb="FF004D4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565C0"/>
        <bgColor rgb="FF0D47A1"/>
      </patternFill>
    </fill>
    <fill>
      <patternFill patternType="solid">
        <fgColor rgb="FFBBDEFB"/>
        <bgColor rgb="FFC8E6C9"/>
      </patternFill>
    </fill>
    <fill>
      <patternFill patternType="solid">
        <fgColor rgb="FFFFF9C4"/>
        <bgColor rgb="FFFFFF99"/>
      </patternFill>
    </fill>
    <fill>
      <patternFill patternType="solid">
        <fgColor rgb="FFEBF5FB"/>
        <bgColor rgb="FFFDFEFE"/>
      </patternFill>
    </fill>
    <fill>
      <patternFill patternType="solid">
        <fgColor rgb="FFFDFEFE"/>
        <bgColor rgb="FFFFFFFF"/>
      </patternFill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C8E6C9"/>
        <bgColor rgb="FFCCCCFF"/>
      </patternFill>
    </fill>
    <fill>
      <patternFill patternType="solid">
        <fgColor rgb="FFFFCDD2"/>
        <bgColor rgb="FFCCCCFF"/>
      </patternFill>
    </fill>
    <fill>
      <patternFill patternType="solid">
        <fgColor rgb="FFE65100"/>
        <bgColor rgb="FFBF360C"/>
      </patternFill>
    </fill>
    <fill>
      <patternFill patternType="solid">
        <fgColor rgb="FFFFE0B2"/>
        <bgColor rgb="FFFFCDD2"/>
      </patternFill>
    </fill>
    <fill>
      <patternFill patternType="solid">
        <fgColor rgb="FF6A1B9A"/>
        <bgColor rgb="FF4A148C"/>
      </patternFill>
    </fill>
    <fill>
      <patternFill patternType="solid">
        <fgColor rgb="FFE1BEE7"/>
        <bgColor rgb="FFFFCDD2"/>
      </patternFill>
    </fill>
    <fill>
      <patternFill patternType="solid">
        <fgColor rgb="FF00695C"/>
        <bgColor rgb="FF008080"/>
      </patternFill>
    </fill>
    <fill>
      <patternFill patternType="solid">
        <fgColor rgb="FFB2DFDB"/>
        <bgColor rgb="FFCCCC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E7E6E6"/>
        <bgColor rgb="FFE7E6E6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C000"/>
      </patternFill>
    </fill>
    <fill>
      <patternFill patternType="solid">
        <fgColor theme="3" tint="0.59999389629810485"/>
        <bgColor rgb="FF0D47A1"/>
      </patternFill>
    </fill>
  </fills>
  <borders count="3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BFBFBF"/>
      </left>
      <right style="thick">
        <color indexed="64"/>
      </right>
      <top style="thin">
        <color rgb="FFBFBFBF"/>
      </top>
      <bottom style="thin">
        <color rgb="FFBFBFBF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ashed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rgb="FFFF0000"/>
      </left>
      <right style="hair">
        <color rgb="FFFF0000"/>
      </right>
      <top style="hair">
        <color rgb="FFFF0000"/>
      </top>
      <bottom style="hair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164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/>
    </xf>
    <xf numFmtId="9" fontId="1" fillId="11" borderId="2" xfId="0" applyNumberFormat="1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9" fontId="6" fillId="13" borderId="2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0" fontId="11" fillId="16" borderId="2" xfId="0" applyFont="1" applyFill="1" applyBorder="1" applyAlignment="1">
      <alignment horizontal="right" vertical="center"/>
    </xf>
    <xf numFmtId="164" fontId="1" fillId="15" borderId="2" xfId="0" applyNumberFormat="1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1" fontId="15" fillId="4" borderId="2" xfId="0" applyNumberFormat="1" applyFont="1" applyFill="1" applyBorder="1" applyAlignment="1">
      <alignment horizontal="center" vertical="center"/>
    </xf>
    <xf numFmtId="164" fontId="14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2" fontId="14" fillId="4" borderId="2" xfId="0" applyNumberFormat="1" applyFont="1" applyFill="1" applyBorder="1" applyAlignment="1">
      <alignment horizontal="center" vertical="center"/>
    </xf>
    <xf numFmtId="164" fontId="21" fillId="11" borderId="2" xfId="0" applyNumberFormat="1" applyFont="1" applyFill="1" applyBorder="1" applyAlignment="1">
      <alignment horizontal="center" vertical="center"/>
    </xf>
    <xf numFmtId="164" fontId="15" fillId="4" borderId="2" xfId="0" applyNumberFormat="1" applyFont="1" applyFill="1" applyBorder="1" applyAlignment="1">
      <alignment horizontal="center" vertical="center"/>
    </xf>
    <xf numFmtId="164" fontId="24" fillId="13" borderId="2" xfId="0" applyNumberFormat="1" applyFont="1" applyFill="1" applyBorder="1" applyAlignment="1">
      <alignment horizontal="center" vertical="center"/>
    </xf>
    <xf numFmtId="0" fontId="25" fillId="0" borderId="0" xfId="0" applyFont="1"/>
    <xf numFmtId="164" fontId="26" fillId="10" borderId="2" xfId="0" applyNumberFormat="1" applyFont="1" applyFill="1" applyBorder="1" applyAlignment="1">
      <alignment horizontal="center" vertical="center"/>
    </xf>
    <xf numFmtId="0" fontId="28" fillId="17" borderId="8" xfId="0" applyFont="1" applyFill="1" applyBorder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9" fillId="8" borderId="2" xfId="0" applyFont="1" applyFill="1" applyBorder="1" applyAlignment="1">
      <alignment horizontal="center" vertical="center"/>
    </xf>
    <xf numFmtId="0" fontId="2" fillId="15" borderId="10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8" fillId="17" borderId="8" xfId="0" applyFont="1" applyFill="1" applyBorder="1" applyAlignment="1">
      <alignment horizontal="center" vertical="center" wrapText="1"/>
    </xf>
    <xf numFmtId="0" fontId="28" fillId="0" borderId="6" xfId="0" applyFont="1" applyBorder="1" applyAlignment="1">
      <alignment horizontal="center" vertical="center" wrapText="1"/>
    </xf>
    <xf numFmtId="164" fontId="28" fillId="0" borderId="6" xfId="0" applyNumberFormat="1" applyFont="1" applyBorder="1" applyAlignment="1">
      <alignment horizontal="center" vertical="center" wrapText="1"/>
    </xf>
    <xf numFmtId="9" fontId="28" fillId="0" borderId="6" xfId="0" applyNumberFormat="1" applyFont="1" applyBorder="1" applyAlignment="1">
      <alignment horizontal="center" vertical="center" wrapText="1"/>
    </xf>
    <xf numFmtId="0" fontId="0" fillId="0" borderId="11" xfId="0" applyBorder="1"/>
    <xf numFmtId="0" fontId="28" fillId="0" borderId="12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/>
    </xf>
    <xf numFmtId="0" fontId="30" fillId="19" borderId="15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32" fillId="0" borderId="15" xfId="0" applyNumberFormat="1" applyFont="1" applyBorder="1" applyAlignment="1">
      <alignment horizontal="center" vertical="center"/>
    </xf>
    <xf numFmtId="2" fontId="33" fillId="0" borderId="15" xfId="0" applyNumberFormat="1" applyFont="1" applyBorder="1" applyAlignment="1">
      <alignment horizontal="center" vertical="center"/>
    </xf>
    <xf numFmtId="0" fontId="31" fillId="20" borderId="15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38" fillId="17" borderId="18" xfId="0" applyFont="1" applyFill="1" applyBorder="1" applyAlignment="1">
      <alignment horizontal="center" vertical="center"/>
    </xf>
    <xf numFmtId="0" fontId="0" fillId="21" borderId="0" xfId="0" applyFill="1"/>
    <xf numFmtId="10" fontId="35" fillId="18" borderId="15" xfId="0" applyNumberFormat="1" applyFont="1" applyFill="1" applyBorder="1" applyAlignment="1">
      <alignment horizontal="center"/>
    </xf>
    <xf numFmtId="2" fontId="36" fillId="18" borderId="15" xfId="0" applyNumberFormat="1" applyFont="1" applyFill="1" applyBorder="1" applyAlignment="1">
      <alignment horizontal="center"/>
    </xf>
    <xf numFmtId="0" fontId="42" fillId="21" borderId="19" xfId="0" applyFont="1" applyFill="1" applyBorder="1" applyAlignment="1">
      <alignment horizontal="center" vertical="center"/>
    </xf>
    <xf numFmtId="0" fontId="42" fillId="21" borderId="20" xfId="0" applyFont="1" applyFill="1" applyBorder="1" applyAlignment="1">
      <alignment horizontal="center" vertical="center"/>
    </xf>
    <xf numFmtId="0" fontId="42" fillId="21" borderId="21" xfId="0" applyFont="1" applyFill="1" applyBorder="1" applyAlignment="1">
      <alignment horizontal="center" vertical="center"/>
    </xf>
    <xf numFmtId="0" fontId="42" fillId="21" borderId="22" xfId="0" applyFont="1" applyFill="1" applyBorder="1" applyAlignment="1">
      <alignment horizontal="center" vertical="center"/>
    </xf>
    <xf numFmtId="0" fontId="39" fillId="17" borderId="18" xfId="0" applyFont="1" applyFill="1" applyBorder="1" applyAlignment="1">
      <alignment horizontal="center" vertical="center"/>
    </xf>
    <xf numFmtId="0" fontId="34" fillId="22" borderId="17" xfId="0" applyFont="1" applyFill="1" applyBorder="1" applyAlignment="1">
      <alignment horizontal="center" vertical="center"/>
    </xf>
    <xf numFmtId="0" fontId="34" fillId="22" borderId="16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0" xfId="0"/>
    <xf numFmtId="0" fontId="5" fillId="11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12" fillId="16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27" fillId="18" borderId="7" xfId="0" applyFont="1" applyFill="1" applyBorder="1" applyAlignment="1">
      <alignment horizontal="center" vertical="center"/>
    </xf>
    <xf numFmtId="0" fontId="0" fillId="0" borderId="9" xfId="0" applyBorder="1"/>
    <xf numFmtId="0" fontId="8" fillId="13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 vertical="center"/>
    </xf>
    <xf numFmtId="0" fontId="20" fillId="12" borderId="2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/>
    </xf>
    <xf numFmtId="0" fontId="0" fillId="0" borderId="0" xfId="0" applyBorder="1"/>
    <xf numFmtId="0" fontId="0" fillId="0" borderId="3" xfId="0" applyBorder="1" applyAlignment="1"/>
    <xf numFmtId="0" fontId="5" fillId="11" borderId="1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1" fontId="15" fillId="4" borderId="1" xfId="0" applyNumberFormat="1" applyFont="1" applyFill="1" applyBorder="1" applyAlignment="1">
      <alignment horizontal="center" vertical="center"/>
    </xf>
    <xf numFmtId="1" fontId="15" fillId="4" borderId="3" xfId="0" applyNumberFormat="1" applyFont="1" applyFill="1" applyBorder="1" applyAlignment="1">
      <alignment horizontal="center" vertical="center"/>
    </xf>
    <xf numFmtId="1" fontId="15" fillId="4" borderId="5" xfId="0" applyNumberFormat="1" applyFont="1" applyFill="1" applyBorder="1" applyAlignment="1">
      <alignment horizontal="center" vertical="center"/>
    </xf>
    <xf numFmtId="4" fontId="15" fillId="4" borderId="2" xfId="0" applyNumberFormat="1" applyFont="1" applyFill="1" applyBorder="1" applyAlignment="1">
      <alignment horizontal="center" vertical="center"/>
    </xf>
    <xf numFmtId="164" fontId="43" fillId="10" borderId="1" xfId="0" applyNumberFormat="1" applyFont="1" applyFill="1" applyBorder="1" applyAlignment="1">
      <alignment horizontal="center" vertical="center"/>
    </xf>
    <xf numFmtId="164" fontId="43" fillId="10" borderId="5" xfId="0" applyNumberFormat="1" applyFont="1" applyFill="1" applyBorder="1" applyAlignment="1">
      <alignment horizontal="center" vertical="center"/>
    </xf>
    <xf numFmtId="164" fontId="44" fillId="23" borderId="2" xfId="0" applyNumberFormat="1" applyFont="1" applyFill="1" applyBorder="1" applyAlignment="1">
      <alignment horizontal="center" vertical="center"/>
    </xf>
    <xf numFmtId="0" fontId="27" fillId="18" borderId="23" xfId="0" applyFont="1" applyFill="1" applyBorder="1" applyAlignment="1">
      <alignment horizontal="center" vertical="center"/>
    </xf>
    <xf numFmtId="0" fontId="27" fillId="18" borderId="9" xfId="0" applyFont="1" applyFill="1" applyBorder="1" applyAlignment="1">
      <alignment horizontal="center" vertical="center"/>
    </xf>
    <xf numFmtId="0" fontId="0" fillId="21" borderId="24" xfId="0" applyFill="1" applyBorder="1"/>
    <xf numFmtId="0" fontId="42" fillId="21" borderId="25" xfId="0" applyFont="1" applyFill="1" applyBorder="1" applyAlignment="1">
      <alignment horizontal="center" vertical="center"/>
    </xf>
    <xf numFmtId="0" fontId="42" fillId="21" borderId="26" xfId="0" applyFont="1" applyFill="1" applyBorder="1" applyAlignment="1">
      <alignment horizontal="center" vertical="center"/>
    </xf>
    <xf numFmtId="0" fontId="42" fillId="21" borderId="0" xfId="0" applyFont="1" applyFill="1" applyBorder="1" applyAlignment="1">
      <alignment horizontal="center" vertical="center"/>
    </xf>
    <xf numFmtId="0" fontId="42" fillId="21" borderId="24" xfId="0" applyFont="1" applyFill="1" applyBorder="1" applyAlignment="1">
      <alignment horizontal="center" vertical="center"/>
    </xf>
    <xf numFmtId="0" fontId="42" fillId="21" borderId="28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4" fontId="40" fillId="0" borderId="31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49" fontId="40" fillId="0" borderId="31" xfId="0" applyNumberFormat="1" applyFont="1" applyBorder="1" applyAlignment="1">
      <alignment horizontal="center" vertical="center"/>
    </xf>
    <xf numFmtId="14" fontId="40" fillId="0" borderId="27" xfId="0" applyNumberFormat="1" applyFont="1" applyBorder="1" applyAlignment="1">
      <alignment horizontal="center" vertical="center"/>
    </xf>
    <xf numFmtId="0" fontId="45" fillId="20" borderId="15" xfId="0" applyFont="1" applyFill="1" applyBorder="1" applyAlignment="1">
      <alignment horizontal="center" vertical="center"/>
    </xf>
    <xf numFmtId="0" fontId="13" fillId="12" borderId="2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46" fillId="16" borderId="2" xfId="0" applyFont="1" applyFill="1" applyBorder="1" applyAlignment="1">
      <alignment horizontal="left" vertical="center" wrapText="1"/>
    </xf>
    <xf numFmtId="0" fontId="25" fillId="0" borderId="3" xfId="0" applyFont="1" applyBorder="1" applyAlignment="1">
      <alignment horizontal="left"/>
    </xf>
    <xf numFmtId="0" fontId="25" fillId="0" borderId="5" xfId="0" applyFont="1" applyBorder="1" applyAlignment="1">
      <alignment horizontal="left"/>
    </xf>
    <xf numFmtId="0" fontId="16" fillId="3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BF5FB"/>
      <rgbColor rgb="FF660066"/>
      <rgbColor rgb="FFFF8080"/>
      <rgbColor rgb="FF1565C0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FEFE"/>
      <rgbColor rgb="FFC8E6C9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E9E9E"/>
      <rgbColor rgb="FF0D47A1"/>
      <rgbColor rgb="FF2E7D32"/>
      <rgbColor rgb="FF003300"/>
      <rgbColor rgb="FF5D4037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990600</xdr:colOff>
      <xdr:row>7</xdr:row>
      <xdr:rowOff>274320</xdr:rowOff>
    </xdr:from>
    <xdr:to>
      <xdr:col>7</xdr:col>
      <xdr:colOff>708660</xdr:colOff>
      <xdr:row>16</xdr:row>
      <xdr:rowOff>107662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93FC44B-D6E0-0646-BDE8-F683CB709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14460" y="2514600"/>
          <a:ext cx="952500" cy="2789902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  <xdr:twoCellAnchor editAs="oneCell">
    <xdr:from>
      <xdr:col>7</xdr:col>
      <xdr:colOff>426721</xdr:colOff>
      <xdr:row>25</xdr:row>
      <xdr:rowOff>228600</xdr:rowOff>
    </xdr:from>
    <xdr:to>
      <xdr:col>18</xdr:col>
      <xdr:colOff>203700</xdr:colOff>
      <xdr:row>30</xdr:row>
      <xdr:rowOff>198120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FB566AA-96BD-791D-69A9-BA537AB535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85021" y="8366760"/>
          <a:ext cx="2550659" cy="1752600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  <xdr:twoCellAnchor editAs="oneCell">
    <xdr:from>
      <xdr:col>7</xdr:col>
      <xdr:colOff>556260</xdr:colOff>
      <xdr:row>30</xdr:row>
      <xdr:rowOff>304801</xdr:rowOff>
    </xdr:from>
    <xdr:to>
      <xdr:col>18</xdr:col>
      <xdr:colOff>68580</xdr:colOff>
      <xdr:row>32</xdr:row>
      <xdr:rowOff>94133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D4A1253-1E92-1544-481A-33905EFBC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14560" y="10226041"/>
          <a:ext cx="2286000" cy="490372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  <xdr:twoCellAnchor editAs="oneCell">
    <xdr:from>
      <xdr:col>7</xdr:col>
      <xdr:colOff>464819</xdr:colOff>
      <xdr:row>61</xdr:row>
      <xdr:rowOff>78864</xdr:rowOff>
    </xdr:from>
    <xdr:to>
      <xdr:col>24</xdr:col>
      <xdr:colOff>172187</xdr:colOff>
      <xdr:row>69</xdr:row>
      <xdr:rowOff>167640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62084AC1-058B-85B1-6FFD-A264E3E8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23119" y="20591904"/>
          <a:ext cx="6047208" cy="2892936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304800</xdr:colOff>
      <xdr:row>40</xdr:row>
      <xdr:rowOff>447636</xdr:rowOff>
    </xdr:from>
    <xdr:to>
      <xdr:col>20</xdr:col>
      <xdr:colOff>449122</xdr:colOff>
      <xdr:row>53</xdr:row>
      <xdr:rowOff>259080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FBE3E71F-D2FB-F35A-19B7-EE4DDDB34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553700" y="15626676"/>
          <a:ext cx="3116122" cy="3827184"/>
        </a:xfrm>
        <a:prstGeom prst="rect">
          <a:avLst/>
        </a:prstGeom>
        <a:ln w="19050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showGridLines="0" tabSelected="1" zoomScaleNormal="100" workbookViewId="0">
      <selection activeCell="Q4" sqref="Q4"/>
    </sheetView>
  </sheetViews>
  <sheetFormatPr baseColWidth="10" defaultColWidth="8.6640625" defaultRowHeight="14.4" x14ac:dyDescent="0.3"/>
  <cols>
    <col min="1" max="1" width="25" customWidth="1"/>
    <col min="2" max="2" width="20" customWidth="1"/>
    <col min="3" max="3" width="17.77734375" bestFit="1" customWidth="1"/>
    <col min="4" max="4" width="18.44140625" bestFit="1" customWidth="1"/>
    <col min="5" max="5" width="19" bestFit="1" customWidth="1"/>
    <col min="6" max="6" width="16.77734375" bestFit="1" customWidth="1"/>
    <col min="7" max="7" width="18" customWidth="1"/>
    <col min="8" max="8" width="14.44140625" customWidth="1"/>
    <col min="9" max="9" width="14.44140625" hidden="1" customWidth="1"/>
    <col min="10" max="10" width="23.5546875" hidden="1" customWidth="1"/>
    <col min="11" max="11" width="16.21875" style="38" hidden="1" customWidth="1"/>
    <col min="12" max="12" width="15.33203125" hidden="1" customWidth="1"/>
    <col min="13" max="13" width="8.6640625" hidden="1" customWidth="1"/>
    <col min="14" max="15" width="0" hidden="1" customWidth="1"/>
  </cols>
  <sheetData>
    <row r="1" spans="1:11" s="55" customFormat="1" ht="31.8" customHeight="1" x14ac:dyDescent="0.3">
      <c r="B1" s="58" t="s">
        <v>99</v>
      </c>
      <c r="C1" s="66" t="s">
        <v>101</v>
      </c>
      <c r="D1" s="66"/>
      <c r="E1" s="66"/>
      <c r="F1" s="58" t="s">
        <v>100</v>
      </c>
      <c r="G1" s="58" t="s">
        <v>98</v>
      </c>
      <c r="K1" s="56"/>
    </row>
    <row r="2" spans="1:11" s="55" customFormat="1" ht="11.4" customHeight="1" x14ac:dyDescent="0.3">
      <c r="C2" s="57"/>
      <c r="D2" s="57"/>
      <c r="E2" s="57"/>
      <c r="K2" s="56"/>
    </row>
    <row r="3" spans="1:11" ht="43.5" customHeight="1" x14ac:dyDescent="0.3">
      <c r="A3" s="69" t="s">
        <v>0</v>
      </c>
      <c r="B3" s="70"/>
      <c r="C3" s="70"/>
      <c r="D3" s="70"/>
      <c r="E3" s="70"/>
      <c r="F3" s="70"/>
      <c r="G3" s="70"/>
    </row>
    <row r="4" spans="1:11" ht="69.599999999999994" customHeight="1" x14ac:dyDescent="0.3">
      <c r="A4" s="124" t="s">
        <v>126</v>
      </c>
      <c r="B4" s="125"/>
      <c r="C4" s="125"/>
      <c r="D4" s="125"/>
      <c r="E4" s="125"/>
      <c r="F4" s="125"/>
      <c r="G4" s="125"/>
    </row>
    <row r="5" spans="1:11" ht="30" customHeight="1" x14ac:dyDescent="0.3">
      <c r="A5" s="76" t="s">
        <v>1</v>
      </c>
      <c r="B5" s="70"/>
      <c r="C5" s="70"/>
      <c r="D5" s="70"/>
      <c r="E5" s="70"/>
      <c r="F5" s="70"/>
      <c r="G5" s="70"/>
    </row>
    <row r="6" spans="1:11" ht="9.75" customHeight="1" x14ac:dyDescent="0.3"/>
    <row r="7" spans="1:11" ht="7.5" customHeight="1" x14ac:dyDescent="0.3"/>
    <row r="8" spans="1:11" ht="30" customHeight="1" x14ac:dyDescent="0.3">
      <c r="B8" s="1" t="s">
        <v>2</v>
      </c>
      <c r="C8" s="1" t="s">
        <v>3</v>
      </c>
      <c r="D8" s="1" t="s">
        <v>4</v>
      </c>
      <c r="E8" s="1" t="s">
        <v>5</v>
      </c>
      <c r="F8" s="1" t="s">
        <v>6</v>
      </c>
    </row>
    <row r="9" spans="1:11" ht="27.75" customHeight="1" x14ac:dyDescent="0.3">
      <c r="B9" s="2" t="s">
        <v>7</v>
      </c>
      <c r="C9" s="3" t="s">
        <v>8</v>
      </c>
      <c r="D9" s="4">
        <v>4.5</v>
      </c>
      <c r="E9" s="5">
        <v>2</v>
      </c>
      <c r="F9" s="26" t="s">
        <v>9</v>
      </c>
    </row>
    <row r="10" spans="1:11" ht="27.75" customHeight="1" x14ac:dyDescent="0.3">
      <c r="B10" s="6" t="s">
        <v>10</v>
      </c>
      <c r="C10" s="7" t="s">
        <v>11</v>
      </c>
      <c r="D10" s="8">
        <v>7.2</v>
      </c>
      <c r="E10" s="9">
        <v>3</v>
      </c>
      <c r="F10" s="26" t="s">
        <v>9</v>
      </c>
      <c r="I10" s="79" t="s">
        <v>12</v>
      </c>
      <c r="J10" s="80"/>
    </row>
    <row r="11" spans="1:11" ht="27.75" customHeight="1" x14ac:dyDescent="0.3">
      <c r="B11" s="2" t="s">
        <v>13</v>
      </c>
      <c r="C11" s="3" t="s">
        <v>11</v>
      </c>
      <c r="D11" s="4">
        <v>9.8000000000000007</v>
      </c>
      <c r="E11" s="5">
        <v>2</v>
      </c>
      <c r="F11" s="26" t="s">
        <v>9</v>
      </c>
      <c r="I11" s="39" t="s">
        <v>14</v>
      </c>
      <c r="J11" s="34" t="s">
        <v>15</v>
      </c>
    </row>
    <row r="12" spans="1:11" ht="27.75" customHeight="1" x14ac:dyDescent="0.3">
      <c r="B12" s="6" t="s">
        <v>16</v>
      </c>
      <c r="C12" s="7" t="s">
        <v>17</v>
      </c>
      <c r="D12" s="8">
        <v>5.5</v>
      </c>
      <c r="E12" s="9">
        <v>1</v>
      </c>
      <c r="F12" s="26" t="s">
        <v>9</v>
      </c>
      <c r="I12" s="40" t="str">
        <f>F8</f>
        <v>💰 Montant (DH)</v>
      </c>
      <c r="J12" s="35" t="str">
        <f>IF(AND(_xlfn.ISFORMULA(F9),F9=D9*E9),"✅","❌")</f>
        <v>❌</v>
      </c>
    </row>
    <row r="13" spans="1:11" ht="27.75" customHeight="1" x14ac:dyDescent="0.3">
      <c r="B13" s="2" t="s">
        <v>18</v>
      </c>
      <c r="C13" s="3" t="s">
        <v>19</v>
      </c>
      <c r="D13" s="4">
        <v>32</v>
      </c>
      <c r="E13" s="5">
        <v>1</v>
      </c>
      <c r="F13" s="26" t="s">
        <v>9</v>
      </c>
      <c r="I13" s="40" t="str">
        <f>B17</f>
        <v>TOTAL À PAYER</v>
      </c>
      <c r="J13" s="35" t="str">
        <f>IF(AND(_xlfn.ISFORMULA(F17),F17=SUM(F9:F15)),"✅","❌")</f>
        <v>❌</v>
      </c>
    </row>
    <row r="14" spans="1:11" ht="27.75" customHeight="1" x14ac:dyDescent="0.3">
      <c r="B14" s="6" t="s">
        <v>20</v>
      </c>
      <c r="C14" s="7" t="s">
        <v>21</v>
      </c>
      <c r="D14" s="8">
        <v>12.5</v>
      </c>
      <c r="E14" s="9">
        <v>2</v>
      </c>
      <c r="F14" s="26" t="s">
        <v>9</v>
      </c>
    </row>
    <row r="15" spans="1:11" ht="27.75" customHeight="1" x14ac:dyDescent="0.3">
      <c r="B15" s="2" t="s">
        <v>22</v>
      </c>
      <c r="C15" s="3" t="s">
        <v>23</v>
      </c>
      <c r="D15" s="4">
        <v>8</v>
      </c>
      <c r="E15" s="5">
        <v>3</v>
      </c>
      <c r="F15" s="26" t="s">
        <v>9</v>
      </c>
    </row>
    <row r="16" spans="1:11" ht="9.75" customHeight="1" x14ac:dyDescent="0.3"/>
    <row r="17" spans="1:12" ht="36" customHeight="1" x14ac:dyDescent="0.3">
      <c r="B17" s="78" t="s">
        <v>24</v>
      </c>
      <c r="C17" s="72"/>
      <c r="D17" s="72"/>
      <c r="E17" s="72"/>
      <c r="F17" s="100" t="s">
        <v>9</v>
      </c>
    </row>
    <row r="19" spans="1:12" ht="9.75" customHeight="1" x14ac:dyDescent="0.3"/>
    <row r="20" spans="1:12" ht="43.5" customHeight="1" x14ac:dyDescent="0.3">
      <c r="A20" s="82" t="s">
        <v>113</v>
      </c>
      <c r="B20" s="72"/>
      <c r="C20" s="72"/>
      <c r="D20" s="72"/>
      <c r="E20" s="72"/>
      <c r="F20" s="72"/>
      <c r="G20" s="73"/>
    </row>
    <row r="21" spans="1:12" ht="114" customHeight="1" x14ac:dyDescent="0.3">
      <c r="A21" s="118" t="s">
        <v>122</v>
      </c>
      <c r="B21" s="119"/>
      <c r="C21" s="119"/>
      <c r="D21" s="119"/>
      <c r="E21" s="119"/>
      <c r="F21" s="119"/>
      <c r="G21" s="120"/>
    </row>
    <row r="22" spans="1:12" ht="30" customHeight="1" x14ac:dyDescent="0.3">
      <c r="A22" s="86" t="s">
        <v>39</v>
      </c>
      <c r="B22" s="72"/>
      <c r="C22" s="72"/>
      <c r="D22" s="72"/>
      <c r="E22" s="72"/>
      <c r="F22" s="72"/>
      <c r="G22" s="73"/>
    </row>
    <row r="23" spans="1:12" ht="9.75" customHeight="1" x14ac:dyDescent="0.3"/>
    <row r="24" spans="1:12" ht="36" customHeight="1" x14ac:dyDescent="0.3">
      <c r="B24" s="13" t="s">
        <v>40</v>
      </c>
      <c r="C24" s="14">
        <v>0.1</v>
      </c>
    </row>
    <row r="25" spans="1:12" ht="7.5" customHeight="1" x14ac:dyDescent="0.3"/>
    <row r="26" spans="1:12" ht="30" customHeight="1" x14ac:dyDescent="0.3">
      <c r="B26" s="15" t="s">
        <v>41</v>
      </c>
      <c r="C26" s="15" t="s">
        <v>42</v>
      </c>
      <c r="D26" s="15" t="s">
        <v>43</v>
      </c>
      <c r="E26" s="15" t="s">
        <v>44</v>
      </c>
      <c r="F26" s="15" t="s">
        <v>45</v>
      </c>
      <c r="G26" s="15" t="s">
        <v>46</v>
      </c>
      <c r="K26" s="79" t="s">
        <v>31</v>
      </c>
      <c r="L26" s="80"/>
    </row>
    <row r="27" spans="1:12" ht="27.75" customHeight="1" x14ac:dyDescent="0.3">
      <c r="B27" s="5" t="s">
        <v>48</v>
      </c>
      <c r="C27" s="4">
        <v>45</v>
      </c>
      <c r="D27" s="5">
        <v>1</v>
      </c>
      <c r="E27" s="26" t="s">
        <v>9</v>
      </c>
      <c r="F27" s="26" t="s">
        <v>9</v>
      </c>
      <c r="G27" s="26" t="s">
        <v>9</v>
      </c>
      <c r="K27" s="39" t="s">
        <v>14</v>
      </c>
      <c r="L27" s="34" t="s">
        <v>15</v>
      </c>
    </row>
    <row r="28" spans="1:12" ht="27.75" customHeight="1" x14ac:dyDescent="0.3">
      <c r="B28" s="9" t="s">
        <v>49</v>
      </c>
      <c r="C28" s="8">
        <v>15</v>
      </c>
      <c r="D28" s="9">
        <v>1</v>
      </c>
      <c r="E28" s="26" t="s">
        <v>9</v>
      </c>
      <c r="F28" s="26" t="s">
        <v>9</v>
      </c>
      <c r="G28" s="26" t="s">
        <v>9</v>
      </c>
      <c r="K28" s="41" t="str">
        <f>E26</f>
        <v>Montant HT (DH)</v>
      </c>
      <c r="L28" s="35" t="str">
        <f>IF(AND(_xlfn.ISFORMULA(E27),E27=C27*D27),"✅","❌")</f>
        <v>❌</v>
      </c>
    </row>
    <row r="29" spans="1:12" ht="27.75" customHeight="1" x14ac:dyDescent="0.3">
      <c r="B29" s="5" t="s">
        <v>50</v>
      </c>
      <c r="C29" s="4">
        <v>40</v>
      </c>
      <c r="D29" s="5">
        <v>1</v>
      </c>
      <c r="E29" s="26" t="s">
        <v>9</v>
      </c>
      <c r="F29" s="26" t="s">
        <v>9</v>
      </c>
      <c r="G29" s="26" t="s">
        <v>9</v>
      </c>
      <c r="K29" s="40" t="str">
        <f>F26</f>
        <v>TVA 10% (DH)</v>
      </c>
      <c r="L29" s="35" t="str">
        <f>IFERROR(IF(AND(_xlfn.ISFORMULA(F27),F27=C$24*E27),"✅","❌"),"❌")</f>
        <v>❌</v>
      </c>
    </row>
    <row r="30" spans="1:12" ht="27.75" customHeight="1" x14ac:dyDescent="0.3">
      <c r="B30" s="9" t="s">
        <v>51</v>
      </c>
      <c r="C30" s="8">
        <v>50</v>
      </c>
      <c r="D30" s="9">
        <v>1</v>
      </c>
      <c r="E30" s="26" t="s">
        <v>9</v>
      </c>
      <c r="F30" s="26" t="s">
        <v>9</v>
      </c>
      <c r="G30" s="26" t="s">
        <v>9</v>
      </c>
      <c r="K30" s="40" t="str">
        <f>G26</f>
        <v>Montant TTC (DH)</v>
      </c>
      <c r="L30" s="35" t="str">
        <f>IFERROR(IF(AND(_xlfn.ISFORMULA(G27),G27=E27+F27),"✅","❌"),"❌")</f>
        <v>❌</v>
      </c>
    </row>
    <row r="31" spans="1:12" ht="27.75" customHeight="1" x14ac:dyDescent="0.3">
      <c r="B31" s="5" t="s">
        <v>52</v>
      </c>
      <c r="C31" s="4">
        <v>10</v>
      </c>
      <c r="D31" s="5">
        <v>2</v>
      </c>
      <c r="E31" s="26" t="s">
        <v>9</v>
      </c>
      <c r="F31" s="26" t="s">
        <v>9</v>
      </c>
      <c r="G31" s="26" t="s">
        <v>9</v>
      </c>
      <c r="K31" s="41" t="str">
        <f>B35</f>
        <v>💰  TOTAL ADDITION TABLE 5</v>
      </c>
      <c r="L31" s="35" t="str">
        <f>IFERROR(IF(AND(_xlfn.ISFORMULA(F35),F35=SUM(F27:F32)),"✅","❌"),"❌")</f>
        <v>❌</v>
      </c>
    </row>
    <row r="32" spans="1:12" ht="27.75" customHeight="1" x14ac:dyDescent="0.3">
      <c r="B32" s="9" t="s">
        <v>53</v>
      </c>
      <c r="C32" s="8">
        <v>5</v>
      </c>
      <c r="D32" s="9">
        <v>2</v>
      </c>
      <c r="E32" s="26" t="s">
        <v>9</v>
      </c>
      <c r="F32" s="26" t="s">
        <v>9</v>
      </c>
      <c r="G32" s="26" t="s">
        <v>9</v>
      </c>
      <c r="K32" s="41" t="str">
        <f>B35</f>
        <v>💰  TOTAL ADDITION TABLE 5</v>
      </c>
      <c r="L32" s="35" t="str">
        <f>IFERROR(IF(AND(_xlfn.ISFORMULA(G35),G35=SUM(G27:G32)),"✅","❌"),"❌")</f>
        <v>❌</v>
      </c>
    </row>
    <row r="34" spans="1:12" ht="9.75" customHeight="1" x14ac:dyDescent="0.3"/>
    <row r="35" spans="1:12" ht="36" customHeight="1" x14ac:dyDescent="0.3">
      <c r="B35" s="71" t="s">
        <v>54</v>
      </c>
      <c r="C35" s="72"/>
      <c r="D35" s="72"/>
      <c r="E35" s="73"/>
      <c r="F35" s="29" t="s">
        <v>9</v>
      </c>
      <c r="G35" s="29" t="s">
        <v>9</v>
      </c>
    </row>
    <row r="37" spans="1:12" ht="31.8" customHeight="1" x14ac:dyDescent="0.3">
      <c r="A37" s="85" t="s">
        <v>114</v>
      </c>
      <c r="B37" s="72"/>
      <c r="C37" s="72"/>
      <c r="D37" s="72"/>
      <c r="E37" s="72"/>
      <c r="F37" s="72"/>
      <c r="G37" s="73"/>
      <c r="K37"/>
    </row>
    <row r="38" spans="1:12" ht="118.2" customHeight="1" x14ac:dyDescent="0.35">
      <c r="A38" s="121" t="s">
        <v>123</v>
      </c>
      <c r="B38" s="122"/>
      <c r="C38" s="122"/>
      <c r="D38" s="122"/>
      <c r="E38" s="122"/>
      <c r="F38" s="122"/>
      <c r="G38" s="123"/>
    </row>
    <row r="39" spans="1:12" ht="30" customHeight="1" x14ac:dyDescent="0.3">
      <c r="A39" s="74" t="s">
        <v>67</v>
      </c>
      <c r="B39" s="72"/>
      <c r="C39" s="72"/>
      <c r="D39" s="72"/>
      <c r="E39" s="72"/>
      <c r="F39" s="72"/>
      <c r="G39" s="73"/>
    </row>
    <row r="40" spans="1:12" ht="9.75" customHeight="1" x14ac:dyDescent="0.3"/>
    <row r="41" spans="1:12" ht="36" customHeight="1" x14ac:dyDescent="0.3">
      <c r="B41" s="20" t="s">
        <v>68</v>
      </c>
      <c r="C41" s="21">
        <v>0.9</v>
      </c>
    </row>
    <row r="42" spans="1:12" ht="9.75" customHeight="1" x14ac:dyDescent="0.3"/>
    <row r="43" spans="1:12" ht="7.5" customHeight="1" x14ac:dyDescent="0.3"/>
    <row r="44" spans="1:12" ht="30" customHeight="1" x14ac:dyDescent="0.3">
      <c r="B44" s="22" t="s">
        <v>69</v>
      </c>
      <c r="C44" s="22" t="s">
        <v>70</v>
      </c>
      <c r="D44" s="22" t="s">
        <v>71</v>
      </c>
      <c r="E44" s="22" t="s">
        <v>72</v>
      </c>
      <c r="F44" s="22" t="s">
        <v>73</v>
      </c>
      <c r="G44" s="22" t="s">
        <v>74</v>
      </c>
      <c r="H44" s="37" t="s">
        <v>75</v>
      </c>
      <c r="K44" s="79" t="s">
        <v>47</v>
      </c>
      <c r="L44" s="80"/>
    </row>
    <row r="45" spans="1:12" ht="25.5" customHeight="1" x14ac:dyDescent="0.3">
      <c r="B45" s="2" t="s">
        <v>76</v>
      </c>
      <c r="C45" s="5">
        <v>150</v>
      </c>
      <c r="D45" s="5">
        <v>1</v>
      </c>
      <c r="E45" s="5">
        <v>24</v>
      </c>
      <c r="F45" s="97" t="s">
        <v>9</v>
      </c>
      <c r="G45" s="97" t="s">
        <v>9</v>
      </c>
      <c r="H45" s="97" t="s">
        <v>9</v>
      </c>
      <c r="K45" s="39" t="s">
        <v>14</v>
      </c>
      <c r="L45" s="34" t="s">
        <v>15</v>
      </c>
    </row>
    <row r="46" spans="1:12" ht="25.5" customHeight="1" x14ac:dyDescent="0.3">
      <c r="B46" s="6" t="s">
        <v>77</v>
      </c>
      <c r="C46" s="9">
        <v>1800</v>
      </c>
      <c r="D46" s="9">
        <v>2</v>
      </c>
      <c r="E46" s="9">
        <v>4</v>
      </c>
      <c r="F46" s="97" t="s">
        <v>9</v>
      </c>
      <c r="G46" s="97" t="s">
        <v>9</v>
      </c>
      <c r="H46" s="97" t="s">
        <v>9</v>
      </c>
      <c r="K46" s="41" t="str">
        <f>F44</f>
        <v>Conso. kWh/jour</v>
      </c>
      <c r="L46" s="35" t="str">
        <f>IF(AND(_xlfn.ISFORMULA(F45),F45=C45*D45*E45/1000),"✅","❌")</f>
        <v>❌</v>
      </c>
    </row>
    <row r="47" spans="1:12" ht="25.5" customHeight="1" x14ac:dyDescent="0.3">
      <c r="B47" s="2" t="s">
        <v>78</v>
      </c>
      <c r="C47" s="5">
        <v>120</v>
      </c>
      <c r="D47" s="5">
        <v>2</v>
      </c>
      <c r="E47" s="5">
        <v>6</v>
      </c>
      <c r="F47" s="97" t="s">
        <v>9</v>
      </c>
      <c r="G47" s="97" t="s">
        <v>9</v>
      </c>
      <c r="H47" s="97" t="s">
        <v>9</v>
      </c>
      <c r="K47" s="41" t="str">
        <f>G44</f>
        <v>Coût/jour (DH)</v>
      </c>
      <c r="L47" s="35" t="str">
        <f>IFERROR(IF(AND(_xlfn.ISFORMULA(G45),G45=F45*C41),"✅","❌"),"❌")</f>
        <v>❌</v>
      </c>
    </row>
    <row r="48" spans="1:12" ht="25.5" customHeight="1" x14ac:dyDescent="0.3">
      <c r="B48" s="6" t="s">
        <v>79</v>
      </c>
      <c r="C48" s="9">
        <v>2000</v>
      </c>
      <c r="D48" s="9">
        <v>1</v>
      </c>
      <c r="E48" s="9">
        <v>1</v>
      </c>
      <c r="F48" s="97" t="s">
        <v>9</v>
      </c>
      <c r="G48" s="97" t="s">
        <v>9</v>
      </c>
      <c r="H48" s="97" t="s">
        <v>9</v>
      </c>
      <c r="K48" s="41" t="str">
        <f>H44</f>
        <v>Coût/mois (DH)</v>
      </c>
      <c r="L48" s="35" t="str">
        <f>IFERROR(IF(AND(_xlfn.ISFORMULA(H45),H45=G45*30),"✅","❌"),"❌")</f>
        <v>❌</v>
      </c>
    </row>
    <row r="49" spans="1:13" ht="25.5" customHeight="1" x14ac:dyDescent="0.3">
      <c r="B49" s="2" t="s">
        <v>80</v>
      </c>
      <c r="C49" s="5">
        <v>1500</v>
      </c>
      <c r="D49" s="5">
        <v>1</v>
      </c>
      <c r="E49" s="5">
        <v>2</v>
      </c>
      <c r="F49" s="97" t="s">
        <v>9</v>
      </c>
      <c r="G49" s="97" t="s">
        <v>9</v>
      </c>
      <c r="H49" s="97" t="s">
        <v>9</v>
      </c>
      <c r="K49" s="41" t="str">
        <f>D53</f>
        <v>Total du coût/mois (DH) →</v>
      </c>
      <c r="L49" s="35" t="str">
        <f>IFERROR(IF(AND(_xlfn.ISFORMULA(F53),F53=SUM(H45:H52)),"✅","❌"),"❌")</f>
        <v>❌</v>
      </c>
    </row>
    <row r="50" spans="1:13" ht="25.5" customHeight="1" x14ac:dyDescent="0.3">
      <c r="B50" s="6" t="s">
        <v>81</v>
      </c>
      <c r="C50" s="9">
        <v>20</v>
      </c>
      <c r="D50" s="9">
        <v>10</v>
      </c>
      <c r="E50" s="9">
        <v>8</v>
      </c>
      <c r="F50" s="97" t="s">
        <v>9</v>
      </c>
      <c r="G50" s="97" t="s">
        <v>9</v>
      </c>
      <c r="H50" s="97" t="s">
        <v>9</v>
      </c>
      <c r="K50" s="41" t="str">
        <f>D54</f>
        <v>Appareil le plus coûteux (MAX) →</v>
      </c>
      <c r="L50" s="35" t="str">
        <f>IFERROR(IF(AND(_xlfn.ISFORMULA(F54),F54=MAX(H45:H52)),"✅","❌"),"❌")</f>
        <v>❌</v>
      </c>
    </row>
    <row r="51" spans="1:13" ht="25.5" customHeight="1" x14ac:dyDescent="0.3">
      <c r="B51" s="2" t="s">
        <v>82</v>
      </c>
      <c r="C51" s="5">
        <v>200</v>
      </c>
      <c r="D51" s="5">
        <v>2</v>
      </c>
      <c r="E51" s="5">
        <v>5</v>
      </c>
      <c r="F51" s="97" t="s">
        <v>9</v>
      </c>
      <c r="G51" s="97" t="s">
        <v>9</v>
      </c>
      <c r="H51" s="97" t="s">
        <v>9</v>
      </c>
      <c r="K51" s="41" t="str">
        <f>D55</f>
        <v>Appareil le moins coûteux (MIN) →</v>
      </c>
      <c r="L51" s="35" t="str">
        <f>IFERROR(IF(AND(_xlfn.ISFORMULA(F55),F55=MIN(H45:H52)),"✅","❌"),"❌")</f>
        <v>❌</v>
      </c>
    </row>
    <row r="52" spans="1:13" ht="25.5" customHeight="1" x14ac:dyDescent="0.3">
      <c r="B52" s="6" t="s">
        <v>83</v>
      </c>
      <c r="C52" s="9">
        <v>900</v>
      </c>
      <c r="D52" s="9">
        <v>1</v>
      </c>
      <c r="E52" s="9">
        <v>0.5</v>
      </c>
      <c r="F52" s="97" t="s">
        <v>9</v>
      </c>
      <c r="G52" s="97" t="s">
        <v>9</v>
      </c>
      <c r="H52" s="97" t="s">
        <v>9</v>
      </c>
    </row>
    <row r="53" spans="1:13" ht="31.8" customHeight="1" x14ac:dyDescent="0.35">
      <c r="D53" s="98" t="s">
        <v>118</v>
      </c>
      <c r="E53" s="99"/>
      <c r="F53" s="33" t="s">
        <v>9</v>
      </c>
      <c r="G53" s="32"/>
      <c r="H53" s="32"/>
      <c r="I53" s="32"/>
    </row>
    <row r="54" spans="1:13" ht="30" customHeight="1" x14ac:dyDescent="0.35">
      <c r="D54" s="98" t="s">
        <v>84</v>
      </c>
      <c r="E54" s="99"/>
      <c r="F54" s="33" t="s">
        <v>9</v>
      </c>
      <c r="G54" s="32"/>
      <c r="H54" s="32"/>
      <c r="I54" s="32"/>
      <c r="J54" s="32"/>
    </row>
    <row r="55" spans="1:13" ht="30" customHeight="1" x14ac:dyDescent="0.35">
      <c r="D55" s="98" t="s">
        <v>85</v>
      </c>
      <c r="E55" s="99"/>
      <c r="F55" s="33" t="s">
        <v>9</v>
      </c>
      <c r="G55" s="32"/>
      <c r="H55" s="32"/>
      <c r="I55" s="32"/>
      <c r="J55" s="32"/>
    </row>
    <row r="56" spans="1:13" ht="30" customHeight="1" x14ac:dyDescent="0.3"/>
    <row r="58" spans="1:13" ht="43.5" customHeight="1" x14ac:dyDescent="0.3">
      <c r="A58" s="91" t="s">
        <v>115</v>
      </c>
      <c r="B58" s="92"/>
      <c r="C58" s="92"/>
      <c r="D58" s="92"/>
      <c r="E58" s="92"/>
      <c r="F58" s="92"/>
      <c r="G58" s="93"/>
      <c r="K58"/>
    </row>
    <row r="59" spans="1:13" ht="45" customHeight="1" x14ac:dyDescent="0.3">
      <c r="A59" s="94" t="s">
        <v>117</v>
      </c>
      <c r="B59" s="95"/>
      <c r="C59" s="95"/>
      <c r="D59" s="95"/>
      <c r="E59" s="95"/>
      <c r="F59" s="95"/>
      <c r="G59" s="96"/>
      <c r="K59"/>
      <c r="M59" s="90"/>
    </row>
    <row r="60" spans="1:13" ht="45" customHeight="1" x14ac:dyDescent="0.3">
      <c r="A60" s="74" t="s">
        <v>116</v>
      </c>
      <c r="B60" s="72"/>
      <c r="C60" s="72"/>
      <c r="D60" s="72"/>
      <c r="E60" s="72"/>
      <c r="F60" s="72"/>
      <c r="G60" s="73"/>
      <c r="H60" s="89"/>
      <c r="I60" s="89"/>
      <c r="J60" s="89"/>
      <c r="K60" s="89"/>
      <c r="L60" s="89"/>
      <c r="M60" s="89"/>
    </row>
    <row r="61" spans="1:13" ht="33.75" customHeight="1" x14ac:dyDescent="0.3">
      <c r="B61" s="23" t="s">
        <v>86</v>
      </c>
      <c r="C61" s="24">
        <v>1</v>
      </c>
      <c r="D61" s="24">
        <v>2</v>
      </c>
      <c r="E61" s="24">
        <v>3</v>
      </c>
      <c r="F61" s="24">
        <v>4</v>
      </c>
      <c r="G61" s="24">
        <v>5</v>
      </c>
      <c r="I61" s="101" t="s">
        <v>59</v>
      </c>
      <c r="J61" s="102"/>
      <c r="K61"/>
    </row>
    <row r="62" spans="1:13" ht="27.75" customHeight="1" x14ac:dyDescent="0.3">
      <c r="B62" s="24">
        <v>1</v>
      </c>
      <c r="C62" s="25" t="s">
        <v>9</v>
      </c>
      <c r="D62" s="25" t="s">
        <v>9</v>
      </c>
      <c r="E62" s="25" t="s">
        <v>9</v>
      </c>
      <c r="F62" s="25" t="s">
        <v>9</v>
      </c>
      <c r="G62" s="25" t="s">
        <v>9</v>
      </c>
      <c r="I62" s="39" t="s">
        <v>14</v>
      </c>
      <c r="J62" s="34" t="s">
        <v>15</v>
      </c>
      <c r="K62"/>
    </row>
    <row r="63" spans="1:13" ht="27.75" customHeight="1" x14ac:dyDescent="0.3">
      <c r="B63" s="24">
        <v>2</v>
      </c>
      <c r="C63" s="25" t="s">
        <v>9</v>
      </c>
      <c r="D63" s="25" t="s">
        <v>9</v>
      </c>
      <c r="E63" s="25" t="s">
        <v>9</v>
      </c>
      <c r="F63" s="25" t="s">
        <v>9</v>
      </c>
      <c r="G63" s="25" t="s">
        <v>9</v>
      </c>
      <c r="I63" s="45">
        <v>1</v>
      </c>
      <c r="J63" s="44" t="str">
        <f>IF(AND(_xlfn.ISFORMULA(C62),C62=$B62*C$61),"✅","❌")</f>
        <v>❌</v>
      </c>
      <c r="K63"/>
    </row>
    <row r="64" spans="1:13" ht="27.75" customHeight="1" x14ac:dyDescent="0.3">
      <c r="B64" s="24">
        <v>3</v>
      </c>
      <c r="C64" s="25" t="s">
        <v>9</v>
      </c>
      <c r="D64" s="25" t="s">
        <v>9</v>
      </c>
      <c r="E64" s="25" t="s">
        <v>9</v>
      </c>
      <c r="F64" s="25" t="s">
        <v>9</v>
      </c>
      <c r="G64" s="25" t="s">
        <v>9</v>
      </c>
      <c r="I64" s="46">
        <v>2</v>
      </c>
      <c r="J64" s="44" t="str">
        <f>IF(AND(_xlfn.ISFORMULA(C63),C63=$B63*C$61),"✅","❌")</f>
        <v>❌</v>
      </c>
      <c r="K64"/>
    </row>
    <row r="65" spans="1:14" ht="27.75" customHeight="1" x14ac:dyDescent="0.3">
      <c r="B65" s="24">
        <v>4</v>
      </c>
      <c r="C65" s="25" t="s">
        <v>9</v>
      </c>
      <c r="D65" s="25" t="s">
        <v>9</v>
      </c>
      <c r="E65" s="25" t="s">
        <v>9</v>
      </c>
      <c r="F65" s="25" t="s">
        <v>9</v>
      </c>
      <c r="G65" s="25" t="s">
        <v>9</v>
      </c>
      <c r="I65" s="45">
        <v>3</v>
      </c>
      <c r="J65" s="44" t="str">
        <f>IF(AND(_xlfn.ISFORMULA(C64),C64=$B64*C$61),"✅","❌")</f>
        <v>❌</v>
      </c>
      <c r="K65"/>
    </row>
    <row r="66" spans="1:14" ht="27.75" customHeight="1" x14ac:dyDescent="0.3">
      <c r="B66" s="24">
        <v>5</v>
      </c>
      <c r="C66" s="25" t="s">
        <v>9</v>
      </c>
      <c r="D66" s="25" t="s">
        <v>9</v>
      </c>
      <c r="E66" s="25" t="s">
        <v>9</v>
      </c>
      <c r="F66" s="25" t="s">
        <v>9</v>
      </c>
      <c r="G66" s="25" t="s">
        <v>9</v>
      </c>
      <c r="I66" s="46">
        <v>4</v>
      </c>
      <c r="J66" s="44" t="str">
        <f>IF(AND(_xlfn.ISFORMULA(C65),C65=$B65*C$61),"✅","❌")</f>
        <v>❌</v>
      </c>
    </row>
    <row r="67" spans="1:14" ht="27.75" customHeight="1" x14ac:dyDescent="0.3">
      <c r="B67" s="24">
        <v>6</v>
      </c>
      <c r="C67" s="25" t="s">
        <v>9</v>
      </c>
      <c r="D67" s="25" t="s">
        <v>9</v>
      </c>
      <c r="E67" s="25" t="s">
        <v>9</v>
      </c>
      <c r="F67" s="25" t="s">
        <v>9</v>
      </c>
      <c r="G67" s="25" t="s">
        <v>9</v>
      </c>
      <c r="I67" s="45">
        <v>5</v>
      </c>
      <c r="J67" s="44" t="str">
        <f>IF(AND(_xlfn.ISFORMULA(C66),C66=$B66*C$61),"✅","❌")</f>
        <v>❌</v>
      </c>
    </row>
    <row r="68" spans="1:14" ht="27.75" customHeight="1" x14ac:dyDescent="0.3">
      <c r="B68" s="24">
        <v>7</v>
      </c>
      <c r="C68" s="25" t="s">
        <v>9</v>
      </c>
      <c r="D68" s="25" t="s">
        <v>9</v>
      </c>
      <c r="E68" s="25" t="s">
        <v>9</v>
      </c>
      <c r="F68" s="25" t="s">
        <v>9</v>
      </c>
      <c r="G68" s="25" t="s">
        <v>9</v>
      </c>
      <c r="I68" s="46">
        <v>6</v>
      </c>
      <c r="J68" s="44" t="str">
        <f>IF(AND(_xlfn.ISFORMULA(C67),C67=$B67*C$61),"✅","❌")</f>
        <v>❌</v>
      </c>
    </row>
    <row r="69" spans="1:14" ht="27.75" customHeight="1" x14ac:dyDescent="0.3">
      <c r="B69" s="24">
        <v>8</v>
      </c>
      <c r="C69" s="25" t="s">
        <v>9</v>
      </c>
      <c r="D69" s="25" t="s">
        <v>9</v>
      </c>
      <c r="E69" s="25" t="s">
        <v>9</v>
      </c>
      <c r="F69" s="25" t="s">
        <v>9</v>
      </c>
      <c r="G69" s="25" t="s">
        <v>9</v>
      </c>
      <c r="I69" s="47">
        <v>7</v>
      </c>
      <c r="J69" s="44" t="str">
        <f>IF(AND(_xlfn.ISFORMULA(C68),C68=$B68*C$61),"✅","❌")</f>
        <v>❌</v>
      </c>
    </row>
    <row r="70" spans="1:14" ht="27.75" customHeight="1" x14ac:dyDescent="0.3">
      <c r="B70" s="24">
        <v>9</v>
      </c>
      <c r="C70" s="25" t="s">
        <v>9</v>
      </c>
      <c r="D70" s="25" t="s">
        <v>9</v>
      </c>
      <c r="E70" s="25" t="s">
        <v>9</v>
      </c>
      <c r="F70" s="25" t="s">
        <v>9</v>
      </c>
      <c r="G70" s="25" t="s">
        <v>9</v>
      </c>
      <c r="I70" s="48">
        <v>8</v>
      </c>
      <c r="J70" s="44" t="str">
        <f>IF(AND(_xlfn.ISFORMULA(C69),C69=$B69*C$61),"✅","❌")</f>
        <v>❌</v>
      </c>
    </row>
    <row r="71" spans="1:14" ht="15.6" x14ac:dyDescent="0.3">
      <c r="H71" s="43"/>
      <c r="I71" s="48">
        <v>9</v>
      </c>
      <c r="J71" s="44" t="str">
        <f>IF(AND(_xlfn.ISFORMULA(C70),C70=$B70*C$61),"✅","❌")</f>
        <v>❌</v>
      </c>
      <c r="N71" s="89"/>
    </row>
    <row r="72" spans="1:14" ht="15.6" customHeight="1" thickBot="1" x14ac:dyDescent="0.35"/>
    <row r="73" spans="1:14" ht="14.4" customHeight="1" x14ac:dyDescent="0.3">
      <c r="A73" s="62" t="s">
        <v>112</v>
      </c>
      <c r="B73" s="63"/>
      <c r="C73" s="63"/>
      <c r="D73" s="63"/>
      <c r="E73" s="63"/>
      <c r="F73" s="63"/>
      <c r="G73" s="63"/>
      <c r="H73" s="104"/>
      <c r="K73"/>
    </row>
    <row r="74" spans="1:14" ht="15" customHeight="1" thickBot="1" x14ac:dyDescent="0.35">
      <c r="A74" s="108"/>
      <c r="B74" s="106"/>
      <c r="C74" s="106"/>
      <c r="D74" s="106"/>
      <c r="E74" s="106"/>
      <c r="F74" s="106"/>
      <c r="G74" s="106"/>
      <c r="H74" s="107"/>
      <c r="K74"/>
    </row>
    <row r="75" spans="1:14" ht="29.4" customHeight="1" thickTop="1" thickBot="1" x14ac:dyDescent="0.35">
      <c r="A75" s="114" t="s">
        <v>107</v>
      </c>
      <c r="B75" s="113">
        <f ca="1">TODAY()</f>
        <v>46082</v>
      </c>
      <c r="C75" s="112" t="s">
        <v>108</v>
      </c>
      <c r="D75" s="109" t="str">
        <f>C1</f>
        <v>…................................…......+..........................................</v>
      </c>
      <c r="E75" s="110"/>
      <c r="F75" s="111"/>
      <c r="G75" s="116" t="s">
        <v>109</v>
      </c>
      <c r="H75" s="115" t="str">
        <f>G1</f>
        <v>2/1</v>
      </c>
      <c r="K75"/>
    </row>
    <row r="76" spans="1:14" ht="15" thickTop="1" x14ac:dyDescent="0.3">
      <c r="A76" s="59"/>
      <c r="B76" s="59"/>
      <c r="C76" s="59"/>
      <c r="D76" s="59"/>
      <c r="E76" s="59"/>
      <c r="F76" s="59"/>
      <c r="G76" s="59"/>
      <c r="H76" s="103"/>
      <c r="K76"/>
    </row>
    <row r="77" spans="1:14" ht="25.05" customHeight="1" x14ac:dyDescent="0.3">
      <c r="A77" s="59"/>
      <c r="B77" s="49" t="s">
        <v>87</v>
      </c>
      <c r="C77" s="49" t="s">
        <v>88</v>
      </c>
      <c r="D77" s="49" t="s">
        <v>89</v>
      </c>
      <c r="E77" s="49" t="s">
        <v>90</v>
      </c>
      <c r="F77" s="49" t="s">
        <v>91</v>
      </c>
      <c r="G77" s="49" t="s">
        <v>92</v>
      </c>
      <c r="H77" s="103"/>
      <c r="K77"/>
    </row>
    <row r="78" spans="1:14" ht="18" x14ac:dyDescent="0.3">
      <c r="A78" s="59"/>
      <c r="B78" s="53" t="s">
        <v>93</v>
      </c>
      <c r="C78" s="50" t="s">
        <v>94</v>
      </c>
      <c r="D78" s="50">
        <v>2</v>
      </c>
      <c r="E78" s="50">
        <f>COUNTIF(J12:J13,"✅")</f>
        <v>0</v>
      </c>
      <c r="F78" s="51">
        <f>E78/D78</f>
        <v>0</v>
      </c>
      <c r="G78" s="52">
        <f>F78*D78</f>
        <v>0</v>
      </c>
      <c r="H78" s="103"/>
      <c r="K78"/>
    </row>
    <row r="79" spans="1:14" ht="18" x14ac:dyDescent="0.3">
      <c r="A79" s="59"/>
      <c r="B79" s="117" t="s">
        <v>120</v>
      </c>
      <c r="C79" s="50" t="s">
        <v>95</v>
      </c>
      <c r="D79" s="50">
        <v>5</v>
      </c>
      <c r="E79" s="50">
        <f>COUNTIF(L28:L32,"✅")</f>
        <v>0</v>
      </c>
      <c r="F79" s="51">
        <f t="shared" ref="F79:F81" si="0">E79/D79</f>
        <v>0</v>
      </c>
      <c r="G79" s="52">
        <f t="shared" ref="G79:G81" si="1">F79*D79</f>
        <v>0</v>
      </c>
      <c r="H79" s="103"/>
      <c r="K79"/>
    </row>
    <row r="80" spans="1:14" ht="18" x14ac:dyDescent="0.3">
      <c r="A80" s="59"/>
      <c r="B80" s="117" t="s">
        <v>119</v>
      </c>
      <c r="C80" s="50" t="s">
        <v>95</v>
      </c>
      <c r="D80" s="50">
        <v>6</v>
      </c>
      <c r="E80" s="50">
        <f>COUNTIF(L46:L51,"✅")</f>
        <v>0</v>
      </c>
      <c r="F80" s="51">
        <f t="shared" si="0"/>
        <v>0</v>
      </c>
      <c r="G80" s="52">
        <f t="shared" si="1"/>
        <v>0</v>
      </c>
      <c r="H80" s="103"/>
      <c r="K80"/>
    </row>
    <row r="81" spans="1:11" ht="18" x14ac:dyDescent="0.3">
      <c r="A81" s="59"/>
      <c r="B81" s="117" t="s">
        <v>121</v>
      </c>
      <c r="C81" s="50" t="s">
        <v>96</v>
      </c>
      <c r="D81" s="50">
        <v>9</v>
      </c>
      <c r="E81" s="50">
        <f>COUNTIF(J63:J71,"✅")</f>
        <v>0</v>
      </c>
      <c r="F81" s="51">
        <f t="shared" si="0"/>
        <v>0</v>
      </c>
      <c r="G81" s="52">
        <f t="shared" si="1"/>
        <v>0</v>
      </c>
      <c r="H81" s="103"/>
      <c r="K81"/>
    </row>
    <row r="82" spans="1:11" ht="9.6" customHeight="1" x14ac:dyDescent="0.3">
      <c r="A82" s="59"/>
      <c r="B82" s="59"/>
      <c r="C82" s="59"/>
      <c r="D82" s="59"/>
      <c r="E82" s="59"/>
      <c r="F82" s="59"/>
      <c r="G82" s="59"/>
      <c r="H82" s="103"/>
      <c r="K82"/>
    </row>
    <row r="83" spans="1:11" ht="23.4" x14ac:dyDescent="0.3">
      <c r="A83" s="59"/>
      <c r="B83" s="59"/>
      <c r="C83" s="59"/>
      <c r="D83" s="59"/>
      <c r="E83" s="59"/>
      <c r="F83" s="67" t="s">
        <v>97</v>
      </c>
      <c r="G83" s="68"/>
      <c r="H83" s="103"/>
      <c r="K83"/>
    </row>
    <row r="84" spans="1:11" ht="24" thickBot="1" x14ac:dyDescent="0.5">
      <c r="A84" s="59"/>
      <c r="B84" s="59"/>
      <c r="C84" s="59"/>
      <c r="D84" s="59"/>
      <c r="E84" s="59"/>
      <c r="F84" s="60">
        <f>SUMPRODUCT(F78:F81,D78:D81)/SUM(D78:D81)</f>
        <v>0</v>
      </c>
      <c r="G84" s="61">
        <f>SUM(G78:G81)/SUM(D78:D81)*20</f>
        <v>0</v>
      </c>
      <c r="H84" s="103"/>
      <c r="K84"/>
    </row>
    <row r="85" spans="1:11" ht="14.4" customHeight="1" x14ac:dyDescent="0.3">
      <c r="A85" s="62" t="s">
        <v>112</v>
      </c>
      <c r="B85" s="63"/>
      <c r="C85" s="63"/>
      <c r="D85" s="63"/>
      <c r="E85" s="63"/>
      <c r="F85" s="63"/>
      <c r="G85" s="63"/>
      <c r="H85" s="104"/>
      <c r="K85"/>
    </row>
    <row r="86" spans="1:11" ht="15" customHeight="1" thickBot="1" x14ac:dyDescent="0.35">
      <c r="A86" s="64"/>
      <c r="B86" s="65"/>
      <c r="C86" s="65"/>
      <c r="D86" s="65"/>
      <c r="E86" s="65"/>
      <c r="F86" s="65"/>
      <c r="G86" s="65"/>
      <c r="H86" s="105"/>
      <c r="K86"/>
    </row>
  </sheetData>
  <mergeCells count="26">
    <mergeCell ref="I61:J61"/>
    <mergeCell ref="D55:E55"/>
    <mergeCell ref="A73:H74"/>
    <mergeCell ref="A85:H86"/>
    <mergeCell ref="A60:G60"/>
    <mergeCell ref="A58:G58"/>
    <mergeCell ref="A59:G59"/>
    <mergeCell ref="I10:J10"/>
    <mergeCell ref="A37:G37"/>
    <mergeCell ref="A22:G22"/>
    <mergeCell ref="K44:L44"/>
    <mergeCell ref="A20:G20"/>
    <mergeCell ref="K26:L26"/>
    <mergeCell ref="A21:G21"/>
    <mergeCell ref="D53:E53"/>
    <mergeCell ref="D54:E54"/>
    <mergeCell ref="C1:E1"/>
    <mergeCell ref="D75:F75"/>
    <mergeCell ref="F83:G83"/>
    <mergeCell ref="A3:G3"/>
    <mergeCell ref="B35:E35"/>
    <mergeCell ref="A39:G39"/>
    <mergeCell ref="A5:G5"/>
    <mergeCell ref="A4:G4"/>
    <mergeCell ref="B17:E17"/>
    <mergeCell ref="A38:G38"/>
  </mergeCells>
  <phoneticPr fontId="37" type="noConversion"/>
  <dataValidations disablePrompts="1" count="1">
    <dataValidation type="list" allowBlank="1" showInputMessage="1" showErrorMessage="1" sqref="G1" xr:uid="{8893F3B3-AF37-4574-A1AF-77D555B47EAF}">
      <formula1>#REF!</formula1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B03DD-3F1E-41AD-B03A-A15CEA420BF5}">
  <dimension ref="A1:K38"/>
  <sheetViews>
    <sheetView showGridLines="0" topLeftCell="A36" zoomScaleNormal="100" workbookViewId="0">
      <selection activeCell="G2" sqref="G2"/>
    </sheetView>
  </sheetViews>
  <sheetFormatPr baseColWidth="10" defaultColWidth="8.6640625" defaultRowHeight="14.4" x14ac:dyDescent="0.3"/>
  <cols>
    <col min="1" max="1" width="25" customWidth="1"/>
    <col min="2" max="2" width="20" customWidth="1"/>
    <col min="3" max="3" width="17.77734375" bestFit="1" customWidth="1"/>
    <col min="4" max="4" width="18.44140625" bestFit="1" customWidth="1"/>
    <col min="5" max="5" width="19" bestFit="1" customWidth="1"/>
    <col min="6" max="6" width="16.77734375" bestFit="1" customWidth="1"/>
    <col min="7" max="7" width="18" customWidth="1"/>
    <col min="8" max="8" width="14.44140625" customWidth="1"/>
    <col min="9" max="9" width="18.21875" customWidth="1"/>
    <col min="10" max="10" width="16.21875" style="38" customWidth="1"/>
    <col min="11" max="11" width="15.33203125" bestFit="1" customWidth="1"/>
    <col min="12" max="12" width="8.6640625" customWidth="1"/>
  </cols>
  <sheetData>
    <row r="1" spans="1:11" s="55" customFormat="1" ht="21.6" customHeight="1" x14ac:dyDescent="0.3">
      <c r="B1" s="58" t="s">
        <v>99</v>
      </c>
      <c r="C1" s="66" t="str">
        <f>TP!C1</f>
        <v>…................................…......+..........................................</v>
      </c>
      <c r="D1" s="66"/>
      <c r="E1" s="66"/>
      <c r="F1" s="58" t="s">
        <v>100</v>
      </c>
      <c r="G1" s="58" t="str">
        <f>TP!G1</f>
        <v>2/1</v>
      </c>
      <c r="J1" s="56"/>
    </row>
    <row r="2" spans="1:11" s="55" customFormat="1" ht="11.4" customHeight="1" x14ac:dyDescent="0.3">
      <c r="C2" s="57"/>
      <c r="D2" s="57"/>
      <c r="E2" s="57"/>
      <c r="J2" s="56"/>
    </row>
    <row r="4" spans="1:11" ht="9.75" customHeight="1" x14ac:dyDescent="0.3"/>
    <row r="5" spans="1:11" ht="43.5" customHeight="1" x14ac:dyDescent="0.3">
      <c r="A5" s="83" t="s">
        <v>124</v>
      </c>
      <c r="B5" s="72"/>
      <c r="C5" s="72"/>
      <c r="D5" s="72"/>
      <c r="E5" s="72"/>
      <c r="F5" s="72"/>
      <c r="G5" s="72"/>
    </row>
    <row r="6" spans="1:11" ht="45.75" customHeight="1" x14ac:dyDescent="0.3">
      <c r="A6" s="84" t="s">
        <v>25</v>
      </c>
      <c r="B6" s="72"/>
      <c r="C6" s="72"/>
      <c r="D6" s="72"/>
      <c r="E6" s="72"/>
      <c r="F6" s="72"/>
      <c r="G6" s="72"/>
    </row>
    <row r="7" spans="1:11" ht="30" customHeight="1" x14ac:dyDescent="0.3">
      <c r="A7" s="87" t="s">
        <v>26</v>
      </c>
      <c r="B7" s="72"/>
      <c r="C7" s="72"/>
      <c r="D7" s="72"/>
      <c r="E7" s="72"/>
      <c r="F7" s="72"/>
      <c r="G7" s="72"/>
    </row>
    <row r="8" spans="1:11" ht="9.75" customHeight="1" x14ac:dyDescent="0.3"/>
    <row r="9" spans="1:11" ht="37.5" customHeight="1" x14ac:dyDescent="0.3">
      <c r="B9" s="27" t="s">
        <v>110</v>
      </c>
      <c r="C9" s="11">
        <v>1</v>
      </c>
      <c r="D9" s="27" t="s">
        <v>111</v>
      </c>
      <c r="E9" s="11">
        <v>2</v>
      </c>
      <c r="F9" s="27" t="s">
        <v>27</v>
      </c>
      <c r="G9" s="11">
        <v>3</v>
      </c>
    </row>
    <row r="10" spans="1:11" ht="7.5" customHeight="1" x14ac:dyDescent="0.3"/>
    <row r="11" spans="1:11" ht="30" customHeight="1" x14ac:dyDescent="0.3">
      <c r="B11" s="10" t="s">
        <v>28</v>
      </c>
      <c r="C11" s="10" t="s">
        <v>105</v>
      </c>
      <c r="D11" s="10" t="s">
        <v>106</v>
      </c>
      <c r="E11" s="10" t="s">
        <v>104</v>
      </c>
      <c r="F11" s="36" t="s">
        <v>29</v>
      </c>
    </row>
    <row r="12" spans="1:11" ht="27.75" customHeight="1" x14ac:dyDescent="0.3">
      <c r="B12" s="2" t="s">
        <v>30</v>
      </c>
      <c r="C12" s="5">
        <v>12</v>
      </c>
      <c r="D12" s="5">
        <v>14</v>
      </c>
      <c r="E12" s="5">
        <v>16</v>
      </c>
      <c r="F12" s="28" t="s">
        <v>9</v>
      </c>
      <c r="J12" s="79" t="s">
        <v>31</v>
      </c>
      <c r="K12" s="80"/>
    </row>
    <row r="13" spans="1:11" ht="27.75" customHeight="1" x14ac:dyDescent="0.3">
      <c r="B13" s="6" t="s">
        <v>32</v>
      </c>
      <c r="C13" s="9">
        <v>18</v>
      </c>
      <c r="D13" s="9">
        <v>17</v>
      </c>
      <c r="E13" s="9">
        <v>19</v>
      </c>
      <c r="F13" s="28" t="s">
        <v>9</v>
      </c>
      <c r="J13" s="39" t="s">
        <v>14</v>
      </c>
      <c r="K13" s="34" t="s">
        <v>15</v>
      </c>
    </row>
    <row r="14" spans="1:11" ht="27.75" customHeight="1" x14ac:dyDescent="0.3">
      <c r="B14" s="2" t="s">
        <v>33</v>
      </c>
      <c r="C14" s="5">
        <v>8</v>
      </c>
      <c r="D14" s="5">
        <v>11</v>
      </c>
      <c r="E14" s="5">
        <v>9</v>
      </c>
      <c r="F14" s="28" t="s">
        <v>9</v>
      </c>
      <c r="J14" s="40" t="str">
        <f>F11</f>
        <v>Moyenne pondérée</v>
      </c>
      <c r="K14" s="35" t="str">
        <f>IF(AND(_xlfn.ISFORMULA(F12),F12=(C12*$C$9+D12*$E$9+E12*$G$9)/SUM($C$9,$E$9,$G$9)),"✅","❌")</f>
        <v>❌</v>
      </c>
    </row>
    <row r="15" spans="1:11" ht="27.75" customHeight="1" x14ac:dyDescent="0.3">
      <c r="B15" s="6" t="s">
        <v>34</v>
      </c>
      <c r="C15" s="9">
        <v>15</v>
      </c>
      <c r="D15" s="9">
        <v>13</v>
      </c>
      <c r="E15" s="9">
        <v>17</v>
      </c>
      <c r="F15" s="28" t="s">
        <v>9</v>
      </c>
      <c r="J15" s="40" t="str">
        <f>C21</f>
        <v>1er de la classe</v>
      </c>
      <c r="K15" s="35" t="str">
        <f>IF(AND(_xlfn.ISFORMULA(C22),C22=MAX(F12:F18)),"✅","❌")</f>
        <v>❌</v>
      </c>
    </row>
    <row r="16" spans="1:11" ht="27.75" customHeight="1" x14ac:dyDescent="0.3">
      <c r="B16" s="2" t="s">
        <v>35</v>
      </c>
      <c r="C16" s="5">
        <v>10</v>
      </c>
      <c r="D16" s="5">
        <v>12</v>
      </c>
      <c r="E16" s="5">
        <v>14</v>
      </c>
      <c r="F16" s="28" t="s">
        <v>9</v>
      </c>
      <c r="J16" s="40" t="str">
        <f>D21</f>
        <v>Le dernier de la classe</v>
      </c>
      <c r="K16" s="35" t="str">
        <f>IF(AND(_xlfn.ISFORMULA(D22),D22=MIN(F12:F18)),"✅","❌")</f>
        <v>❌</v>
      </c>
    </row>
    <row r="17" spans="1:11" ht="27.75" customHeight="1" x14ac:dyDescent="0.3">
      <c r="B17" s="6" t="s">
        <v>36</v>
      </c>
      <c r="C17" s="9">
        <v>19</v>
      </c>
      <c r="D17" s="9">
        <v>18</v>
      </c>
      <c r="E17" s="9">
        <v>20</v>
      </c>
      <c r="F17" s="28" t="s">
        <v>9</v>
      </c>
      <c r="J17" s="40" t="str">
        <f>E21</f>
        <v>MOYENNE classe</v>
      </c>
      <c r="K17" s="35" t="str">
        <f>IFERROR(IF(AND(_xlfn.ISFORMULA(E22),E22=AVERAGE(F12:F18)),"✅","❌"),"❌")</f>
        <v>❌</v>
      </c>
    </row>
    <row r="18" spans="1:11" ht="27.75" customHeight="1" x14ac:dyDescent="0.3">
      <c r="B18" s="2" t="s">
        <v>37</v>
      </c>
      <c r="C18" s="5">
        <v>14</v>
      </c>
      <c r="D18" s="5">
        <v>9</v>
      </c>
      <c r="E18" s="5">
        <v>11</v>
      </c>
      <c r="F18" s="28" t="s">
        <v>9</v>
      </c>
    </row>
    <row r="20" spans="1:11" ht="9.75" customHeight="1" x14ac:dyDescent="0.3"/>
    <row r="21" spans="1:11" ht="27.75" customHeight="1" x14ac:dyDescent="0.3">
      <c r="C21" s="12" t="s">
        <v>102</v>
      </c>
      <c r="D21" s="12" t="s">
        <v>103</v>
      </c>
      <c r="E21" s="12" t="s">
        <v>38</v>
      </c>
    </row>
    <row r="22" spans="1:11" ht="30" customHeight="1" x14ac:dyDescent="0.3">
      <c r="C22" s="54" t="s">
        <v>9</v>
      </c>
      <c r="D22" s="54" t="s">
        <v>9</v>
      </c>
      <c r="E22" s="54" t="s">
        <v>9</v>
      </c>
    </row>
    <row r="25" spans="1:11" ht="43.5" customHeight="1" x14ac:dyDescent="0.3">
      <c r="A25" s="81" t="s">
        <v>125</v>
      </c>
      <c r="B25" s="72"/>
      <c r="C25" s="72"/>
      <c r="D25" s="72"/>
      <c r="E25" s="72"/>
      <c r="F25" s="72"/>
      <c r="G25" s="73"/>
    </row>
    <row r="26" spans="1:11" ht="45.75" customHeight="1" x14ac:dyDescent="0.3">
      <c r="A26" s="77" t="s">
        <v>55</v>
      </c>
      <c r="B26" s="72"/>
      <c r="C26" s="72"/>
      <c r="D26" s="72"/>
      <c r="E26" s="72"/>
      <c r="F26" s="72"/>
      <c r="G26" s="73"/>
    </row>
    <row r="27" spans="1:11" ht="30" customHeight="1" x14ac:dyDescent="0.3">
      <c r="A27" s="75" t="s">
        <v>56</v>
      </c>
      <c r="B27" s="72"/>
      <c r="C27" s="72"/>
      <c r="D27" s="72"/>
      <c r="E27" s="72"/>
      <c r="F27" s="72"/>
      <c r="G27" s="73"/>
    </row>
    <row r="28" spans="1:11" ht="19.8" customHeight="1" x14ac:dyDescent="0.3"/>
    <row r="29" spans="1:11" ht="33.75" customHeight="1" x14ac:dyDescent="0.3">
      <c r="B29" s="16" t="s">
        <v>57</v>
      </c>
      <c r="C29" s="16" t="s">
        <v>58</v>
      </c>
      <c r="D29" s="17">
        <v>0.05</v>
      </c>
      <c r="E29" s="17">
        <v>0.08</v>
      </c>
      <c r="F29" s="17">
        <v>0.1</v>
      </c>
      <c r="G29" s="17">
        <v>0.15</v>
      </c>
      <c r="J29" s="79" t="s">
        <v>59</v>
      </c>
      <c r="K29" s="80"/>
    </row>
    <row r="30" spans="1:11" ht="21.6" customHeight="1" x14ac:dyDescent="0.3">
      <c r="J30" s="39" t="s">
        <v>14</v>
      </c>
      <c r="K30" s="34" t="s">
        <v>15</v>
      </c>
    </row>
    <row r="31" spans="1:11" ht="27.75" customHeight="1" x14ac:dyDescent="0.3">
      <c r="B31" s="5" t="s">
        <v>60</v>
      </c>
      <c r="C31" s="18">
        <v>2200</v>
      </c>
      <c r="D31" s="30" t="s">
        <v>9</v>
      </c>
      <c r="E31" s="30" t="s">
        <v>9</v>
      </c>
      <c r="F31" s="30" t="s">
        <v>9</v>
      </c>
      <c r="G31" s="30" t="s">
        <v>9</v>
      </c>
      <c r="J31" s="42">
        <f>D29</f>
        <v>0.05</v>
      </c>
      <c r="K31" s="35" t="str">
        <f>IFERROR(IF(AND(_xlfn.ISFORMULA(D31),D31=C31*D$29),"✅","❌"),"❌")</f>
        <v>❌</v>
      </c>
    </row>
    <row r="32" spans="1:11" ht="27.75" customHeight="1" x14ac:dyDescent="0.3">
      <c r="B32" s="9" t="s">
        <v>61</v>
      </c>
      <c r="C32" s="19">
        <v>2400</v>
      </c>
      <c r="D32" s="30" t="s">
        <v>9</v>
      </c>
      <c r="E32" s="30" t="s">
        <v>9</v>
      </c>
      <c r="F32" s="30" t="s">
        <v>9</v>
      </c>
      <c r="G32" s="30" t="s">
        <v>9</v>
      </c>
      <c r="J32" s="42">
        <f>E29</f>
        <v>0.08</v>
      </c>
      <c r="K32" s="35" t="str">
        <f>IFERROR(IF(AND(_xlfn.ISFORMULA(E31),E31=C31*E29),"✅","❌"),"❌")</f>
        <v>❌</v>
      </c>
    </row>
    <row r="33" spans="2:11" ht="27.75" customHeight="1" x14ac:dyDescent="0.3">
      <c r="B33" s="5" t="s">
        <v>62</v>
      </c>
      <c r="C33" s="18">
        <v>3500</v>
      </c>
      <c r="D33" s="30" t="s">
        <v>9</v>
      </c>
      <c r="E33" s="30" t="s">
        <v>9</v>
      </c>
      <c r="F33" s="30" t="s">
        <v>9</v>
      </c>
      <c r="G33" s="30" t="s">
        <v>9</v>
      </c>
      <c r="J33" s="42">
        <f>F29</f>
        <v>0.1</v>
      </c>
      <c r="K33" s="35" t="str">
        <f>IFERROR(IF(AND(_xlfn.ISFORMULA(F31),F31=C31*F29),"✅","❌"),"❌")</f>
        <v>❌</v>
      </c>
    </row>
    <row r="34" spans="2:11" ht="27.75" customHeight="1" x14ac:dyDescent="0.3">
      <c r="B34" s="9" t="s">
        <v>63</v>
      </c>
      <c r="C34" s="19">
        <v>3800</v>
      </c>
      <c r="D34" s="30" t="s">
        <v>9</v>
      </c>
      <c r="E34" s="30" t="s">
        <v>9</v>
      </c>
      <c r="F34" s="30" t="s">
        <v>9</v>
      </c>
      <c r="G34" s="30" t="s">
        <v>9</v>
      </c>
      <c r="J34" s="42">
        <f>G29</f>
        <v>0.15</v>
      </c>
      <c r="K34" s="35" t="str">
        <f>IFERROR(IF(AND(_xlfn.ISFORMULA(G31),G31=C31*G29),"✅","❌"),"❌")</f>
        <v>❌</v>
      </c>
    </row>
    <row r="35" spans="2:11" ht="27.75" customHeight="1" x14ac:dyDescent="0.3">
      <c r="B35" s="5" t="s">
        <v>64</v>
      </c>
      <c r="C35" s="18">
        <v>5000</v>
      </c>
      <c r="D35" s="30" t="s">
        <v>9</v>
      </c>
      <c r="E35" s="30" t="s">
        <v>9</v>
      </c>
      <c r="F35" s="30" t="s">
        <v>9</v>
      </c>
      <c r="G35" s="30" t="s">
        <v>9</v>
      </c>
      <c r="J35" s="41" t="str">
        <f>$B$37</f>
        <v>TOTAL PRIMES PAR TRIMESTRE</v>
      </c>
      <c r="K35" s="35" t="str">
        <f>IFERROR(IF(AND(_xlfn.ISFORMULA(D37),D37=SUM(D31:D36)),"✅","❌"),"❌")</f>
        <v>❌</v>
      </c>
    </row>
    <row r="36" spans="2:11" ht="27.75" customHeight="1" x14ac:dyDescent="0.3">
      <c r="B36" s="9" t="s">
        <v>65</v>
      </c>
      <c r="C36" s="19">
        <v>5500</v>
      </c>
      <c r="D36" s="30" t="s">
        <v>9</v>
      </c>
      <c r="E36" s="30" t="s">
        <v>9</v>
      </c>
      <c r="F36" s="30" t="s">
        <v>9</v>
      </c>
      <c r="G36" s="30" t="s">
        <v>9</v>
      </c>
      <c r="J36" s="41" t="str">
        <f>$B$37</f>
        <v>TOTAL PRIMES PAR TRIMESTRE</v>
      </c>
      <c r="K36" s="35" t="str">
        <f>IFERROR(IF(AND(_xlfn.ISFORMULA(E37),E37=SUM(E31:E36)),"✅","❌"),"❌")</f>
        <v>❌</v>
      </c>
    </row>
    <row r="37" spans="2:11" ht="31.5" customHeight="1" x14ac:dyDescent="0.3">
      <c r="B37" s="88" t="s">
        <v>66</v>
      </c>
      <c r="C37" s="72"/>
      <c r="D37" s="31" t="s">
        <v>9</v>
      </c>
      <c r="E37" s="31" t="s">
        <v>9</v>
      </c>
      <c r="F37" s="31" t="s">
        <v>9</v>
      </c>
      <c r="G37" s="31" t="s">
        <v>9</v>
      </c>
      <c r="J37" s="41" t="str">
        <f>$B$37</f>
        <v>TOTAL PRIMES PAR TRIMESTRE</v>
      </c>
      <c r="K37" s="35" t="str">
        <f>IFERROR(IF(AND(_xlfn.ISFORMULA(F37),F37=SUM(F31:F36)),"✅","❌"),"❌")</f>
        <v>❌</v>
      </c>
    </row>
    <row r="38" spans="2:11" ht="31.8" customHeight="1" x14ac:dyDescent="0.3">
      <c r="J38" s="41" t="str">
        <f>$B$37</f>
        <v>TOTAL PRIMES PAR TRIMESTRE</v>
      </c>
      <c r="K38" s="35" t="str">
        <f>IFERROR(IF(AND(_xlfn.ISFORMULA(G37),G37=SUM(G31:G36)),"✅","❌"),"❌")</f>
        <v>❌</v>
      </c>
    </row>
  </sheetData>
  <mergeCells count="10">
    <mergeCell ref="J29:K29"/>
    <mergeCell ref="B37:C37"/>
    <mergeCell ref="A25:G25"/>
    <mergeCell ref="A26:G26"/>
    <mergeCell ref="A27:G27"/>
    <mergeCell ref="A5:G5"/>
    <mergeCell ref="A6:G6"/>
    <mergeCell ref="A7:G7"/>
    <mergeCell ref="J12:K12"/>
    <mergeCell ref="C1:E1"/>
  </mergeCell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TP</vt:lpstr>
      <vt:lpstr>TP SUP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abdellah.tahtoh</dc:creator>
  <cp:keywords>Tableur</cp:keywords>
  <cp:lastModifiedBy>ABDELLAH.TAHTOH</cp:lastModifiedBy>
  <cp:revision>0</cp:revision>
  <dcterms:created xsi:type="dcterms:W3CDTF">2026-02-24T22:40:09Z</dcterms:created>
  <dcterms:modified xsi:type="dcterms:W3CDTF">2026-03-01T23:54:11Z</dcterms:modified>
  <dc:language>en-US</dc:language>
</cp:coreProperties>
</file>