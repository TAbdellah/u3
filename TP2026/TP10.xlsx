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ahto\OneDrive\Documents\GitHub\u3\TP2026\"/>
    </mc:Choice>
  </mc:AlternateContent>
  <xr:revisionPtr revIDLastSave="0" documentId="13_ncr:1_{C0FE9C62-BCC8-468E-AF07-1369376493A7}" xr6:coauthVersionLast="47" xr6:coauthVersionMax="47" xr10:uidLastSave="{00000000-0000-0000-0000-000000000000}"/>
  <bookViews>
    <workbookView xWindow="-108" yWindow="-108" windowWidth="23256" windowHeight="12456" tabRatio="863" xr2:uid="{00000000-000D-0000-FFFF-FFFF00000000}"/>
  </bookViews>
  <sheets>
    <sheet name="TP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4" i="1" l="1"/>
  <c r="D124" i="1"/>
  <c r="B124" i="1"/>
  <c r="E114" i="1"/>
  <c r="E115" i="1"/>
  <c r="E118" i="1"/>
  <c r="E119" i="1"/>
  <c r="E112" i="1"/>
  <c r="E116" i="1"/>
  <c r="K63" i="1"/>
  <c r="K64" i="1"/>
  <c r="K65" i="1"/>
  <c r="K62" i="1"/>
  <c r="K48" i="1"/>
  <c r="K29" i="1"/>
  <c r="K12" i="1"/>
  <c r="E120" i="1"/>
  <c r="E117" i="1"/>
  <c r="E113" i="1"/>
  <c r="J85" i="1"/>
  <c r="J84" i="1"/>
  <c r="J83" i="1"/>
  <c r="J82" i="1"/>
  <c r="J81" i="1"/>
  <c r="J80" i="1"/>
  <c r="J79" i="1"/>
  <c r="J78" i="1"/>
  <c r="J69" i="1"/>
  <c r="J68" i="1"/>
  <c r="J67" i="1"/>
  <c r="J66" i="1"/>
  <c r="J65" i="1"/>
  <c r="J64" i="1"/>
  <c r="J63" i="1"/>
  <c r="J62" i="1"/>
  <c r="J51" i="1"/>
  <c r="J50" i="1"/>
  <c r="J49" i="1"/>
  <c r="J48" i="1"/>
  <c r="K47" i="1"/>
  <c r="J47" i="1"/>
  <c r="J32" i="1"/>
  <c r="J31" i="1"/>
  <c r="J30" i="1"/>
  <c r="J29" i="1"/>
  <c r="J13" i="1"/>
  <c r="J12" i="1"/>
  <c r="K85" i="1" l="1"/>
  <c r="K78" i="1"/>
  <c r="K13" i="1"/>
  <c r="E127" i="1" s="1"/>
  <c r="F127" i="1" s="1"/>
  <c r="K80" i="1"/>
  <c r="K69" i="1"/>
  <c r="K79" i="1"/>
  <c r="K68" i="1"/>
  <c r="K67" i="1"/>
  <c r="E132" i="1"/>
  <c r="K49" i="1"/>
  <c r="K30" i="1"/>
  <c r="K31" i="1"/>
  <c r="K81" i="1"/>
  <c r="K66" i="1"/>
  <c r="K32" i="1"/>
  <c r="E130" i="1" l="1"/>
  <c r="F130" i="1" s="1"/>
  <c r="G130" i="1" s="1"/>
  <c r="K84" i="1"/>
  <c r="K83" i="1"/>
  <c r="G127" i="1"/>
  <c r="K51" i="1"/>
  <c r="F132" i="1"/>
  <c r="E128" i="1"/>
  <c r="F128" i="1" s="1"/>
  <c r="K50" i="1"/>
  <c r="E129" i="1" s="1"/>
  <c r="F129" i="1" s="1"/>
  <c r="K82" i="1"/>
  <c r="E131" i="1" s="1"/>
  <c r="F131" i="1" s="1"/>
  <c r="F135" i="1" l="1"/>
  <c r="G128" i="1"/>
  <c r="G131" i="1"/>
  <c r="G129" i="1"/>
  <c r="G132" i="1"/>
  <c r="G135" i="1" l="1"/>
</calcChain>
</file>

<file path=xl/sharedStrings.xml><?xml version="1.0" encoding="utf-8"?>
<sst xmlns="http://schemas.openxmlformats.org/spreadsheetml/2006/main" count="330" uniqueCount="140">
  <si>
    <t>🛒  Exercice 01 — CAISSIER(ÈRE) AU SUPERMARCHÉ</t>
  </si>
  <si>
    <t>📖 Situation : Un client passe en caisse. Calcule le montant de chaque article (Prix × Quantité) puis le total du ticket. UNE seule formule à écrire, puis copier !</t>
  </si>
  <si>
    <t>🔵 Type de référence : RELATIVE   —  Car chaque ligne a son propre prix et sa propre quantité.</t>
  </si>
  <si>
    <t>Produit</t>
  </si>
  <si>
    <t>Rayon</t>
  </si>
  <si>
    <t>Prix unitaire (DH)</t>
  </si>
  <si>
    <t>Quantité</t>
  </si>
  <si>
    <t>💰 Montant (DH)</t>
  </si>
  <si>
    <t>Pain de mie</t>
  </si>
  <si>
    <t>Boulangerie</t>
  </si>
  <si>
    <t>?</t>
  </si>
  <si>
    <t>Lait 1L</t>
  </si>
  <si>
    <t>Crémerie</t>
  </si>
  <si>
    <t>Correction d'Exercice 01</t>
  </si>
  <si>
    <t>Yaourts ×4</t>
  </si>
  <si>
    <t>Question</t>
  </si>
  <si>
    <t>✅/❌</t>
  </si>
  <si>
    <t>Tomates 1kg</t>
  </si>
  <si>
    <t>Légumes</t>
  </si>
  <si>
    <t>Poulet 1kg</t>
  </si>
  <si>
    <t>Boucherie</t>
  </si>
  <si>
    <t>Jus d'orange</t>
  </si>
  <si>
    <t>Boissons</t>
  </si>
  <si>
    <t>Biscuits</t>
  </si>
  <si>
    <t>Épicerie</t>
  </si>
  <si>
    <t>TOTAL À PAYER</t>
  </si>
  <si>
    <t>🏫  Exercice 02 — PROFESSEUR : CALCUL DES MOYENNES PONDÉRÉES</t>
  </si>
  <si>
    <t>📖 Situation : Les élèves ont passé 3 épreuves. Les coefficients (1, 2, 3) sont stockés en cellules fixes. Tu dois calculer la moyenne pondérée de chacun avec UNE seule formule.</t>
  </si>
  <si>
    <t>🟢 Type de référence : ABSOLUE  —  Les coefficients ne changent JAMAIS.</t>
  </si>
  <si>
    <t>Coeff. Ctrl 1 :</t>
  </si>
  <si>
    <t>Coeff. Ctrl 2 :</t>
  </si>
  <si>
    <t>Coeff. Examen :</t>
  </si>
  <si>
    <t>Élève</t>
  </si>
  <si>
    <t>Moyenne pondérée</t>
  </si>
  <si>
    <t>Ahmed</t>
  </si>
  <si>
    <t>Correction d'Exercice 02</t>
  </si>
  <si>
    <t>Sara</t>
  </si>
  <si>
    <t>Karim</t>
  </si>
  <si>
    <t>Nadia</t>
  </si>
  <si>
    <t>Youssef</t>
  </si>
  <si>
    <t>Fatima</t>
  </si>
  <si>
    <t>Omar</t>
  </si>
  <si>
    <t>MOYENNE classe</t>
  </si>
  <si>
    <t>🍕  Exercice 03 — SERVEUR(EUSE) : CALCUL DE L'ADDITION</t>
  </si>
  <si>
    <t>📖 Situation : La table 5 a commandé plusieurs plats. Pour chaque plat calcule : Montant HT, TVA (10%), Montant TTC. Le taux TVA est identique pour toute la carte.</t>
  </si>
  <si>
    <t>🟢 Référence ABSOLUE pour la TVA  —  Le taux est fixe pour TOUS les plats.</t>
  </si>
  <si>
    <t>Taux TVA :</t>
  </si>
  <si>
    <t>Plat commandé</t>
  </si>
  <si>
    <t>Prix HT (DH)</t>
  </si>
  <si>
    <t>Qté</t>
  </si>
  <si>
    <t>Montant HT (DH)</t>
  </si>
  <si>
    <t>TVA 10% (DH)</t>
  </si>
  <si>
    <t>Montant TTC (DH)</t>
  </si>
  <si>
    <t>Correction d'Exercice 03</t>
  </si>
  <si>
    <t>Pizza Margherita</t>
  </si>
  <si>
    <t>Salade César</t>
  </si>
  <si>
    <t xml:space="preserve">Tajine </t>
  </si>
  <si>
    <t xml:space="preserve">Rfissa </t>
  </si>
  <si>
    <t xml:space="preserve">Harira </t>
  </si>
  <si>
    <t>Eau minérale</t>
  </si>
  <si>
    <t>💰  TOTAL ADDITION TABLE 5</t>
  </si>
  <si>
    <t>💼  Exercice 04 — RH : TABLEAU DES PRIMES TRIMESTRIELLES</t>
  </si>
  <si>
    <t>📖 Situation : L'entreprise verse des primes selon le grade ET le trimestre. Remplis le tableau Grade × Trimestre avec UNE SEULE formule copiée dans tout le tableau !</t>
  </si>
  <si>
    <t xml:space="preserve">🟠 Référence MIXTE   </t>
  </si>
  <si>
    <t>Grade</t>
  </si>
  <si>
    <t>Salaire base (DH)</t>
  </si>
  <si>
    <t>Correction d'Exercice 04</t>
  </si>
  <si>
    <t>Junior A</t>
  </si>
  <si>
    <t>Junior B</t>
  </si>
  <si>
    <t>Senior A</t>
  </si>
  <si>
    <t>Senior B</t>
  </si>
  <si>
    <t>Expert A</t>
  </si>
  <si>
    <t>Expert B</t>
  </si>
  <si>
    <t>TOTAL PRIMES PAR TRIMESTRE</t>
  </si>
  <si>
    <t>🔌  Exercice 05 — FACTURE D'ÉLECTRICITÉ FAMILIALE</t>
  </si>
  <si>
    <t>📖 Situation : Une famille veut analyser sa consommation électrique. Chaque appareil a sa puissance et ses heures d'utilisation. Le prix du kWh est unique et fixe.</t>
  </si>
  <si>
    <t>🟢 Référence ABSOLUE pour le prix kWh</t>
  </si>
  <si>
    <t>Prix du kWh :</t>
  </si>
  <si>
    <t>Appareil</t>
  </si>
  <si>
    <t>Puissance (W)</t>
  </si>
  <si>
    <t>Nb unités</t>
  </si>
  <si>
    <t>Heures/jour</t>
  </si>
  <si>
    <t>Conso. kWh/jour</t>
  </si>
  <si>
    <t>Coût/jour (DH)</t>
  </si>
  <si>
    <t>Coût/mois (DH)</t>
  </si>
  <si>
    <t>Correction d'Exercice 05</t>
  </si>
  <si>
    <t>Réfrigérateur</t>
  </si>
  <si>
    <t>Climatiseur</t>
  </si>
  <si>
    <t>Télévision</t>
  </si>
  <si>
    <t>Lave-linge</t>
  </si>
  <si>
    <t>Chauffe-eau</t>
  </si>
  <si>
    <t>Éclairage LED</t>
  </si>
  <si>
    <t>Ordinateur</t>
  </si>
  <si>
    <t>Micro-ondes</t>
  </si>
  <si>
    <t>TOTAUX</t>
  </si>
  <si>
    <t>Appareil le plus coûteux (MAX) →</t>
  </si>
  <si>
    <t>Appareil le moins coûteux (MIN) →</t>
  </si>
  <si>
    <t>✖️  Exercice 06 — TABLE DE MULTIPLICATION — Référence MIXTE</t>
  </si>
  <si>
    <t>📖 Situation : Crée une table 9×9 avec UNE SEULE formule en C5, puis copie-la dans tout le tableau</t>
  </si>
  <si>
    <t>×</t>
  </si>
  <si>
    <t>Correction d'Exercice 06</t>
  </si>
  <si>
    <t>📊 BULLETIN DE NOTATION — RÉFÉRENCES EXCEL</t>
  </si>
  <si>
    <t>Exercice</t>
  </si>
  <si>
    <t>Type de référence</t>
  </si>
  <si>
    <t>Questions</t>
  </si>
  <si>
    <t>Réponses correctes</t>
  </si>
  <si>
    <t>Pourcentage</t>
  </si>
  <si>
    <t>Note /20</t>
  </si>
  <si>
    <t>🛒 Exercice 01</t>
  </si>
  <si>
    <t>RELATIVE</t>
  </si>
  <si>
    <t>🏫 Exercice 02</t>
  </si>
  <si>
    <t>ABSOLUE</t>
  </si>
  <si>
    <t>🍕 Exercice 03</t>
  </si>
  <si>
    <t>💼 Exercice 04</t>
  </si>
  <si>
    <t>MIXTE</t>
  </si>
  <si>
    <t>🔌 Exercice 05</t>
  </si>
  <si>
    <t>✖️ Exercice 06</t>
  </si>
  <si>
    <t>📈 TOTAL GÉNÉRAL</t>
  </si>
  <si>
    <t>📋 GRILLE D'ÉVALUATION</t>
  </si>
  <si>
    <t>2/1</t>
  </si>
  <si>
    <t>2/2</t>
  </si>
  <si>
    <t>2/3</t>
  </si>
  <si>
    <t>2/4</t>
  </si>
  <si>
    <t>2/5</t>
  </si>
  <si>
    <t>2/6</t>
  </si>
  <si>
    <t>2/7</t>
  </si>
  <si>
    <t>2/8</t>
  </si>
  <si>
    <t>2/9</t>
  </si>
  <si>
    <t>Nom complet</t>
  </si>
  <si>
    <t>Classe</t>
  </si>
  <si>
    <r>
      <t>…................................…......</t>
    </r>
    <r>
      <rPr>
        <b/>
        <sz val="11"/>
        <color theme="1"/>
        <rFont val="Calibri"/>
        <family val="2"/>
      </rPr>
      <t>+</t>
    </r>
    <r>
      <rPr>
        <b/>
        <sz val="6"/>
        <color theme="1"/>
        <rFont val="Calibri"/>
        <family val="2"/>
      </rPr>
      <t>..........................................</t>
    </r>
  </si>
  <si>
    <t>1er de la classe</t>
  </si>
  <si>
    <t>Le dernier de la classe</t>
  </si>
  <si>
    <t>Examen</t>
  </si>
  <si>
    <t>contrôle 1</t>
  </si>
  <si>
    <t>contrôle 2</t>
  </si>
  <si>
    <t>📝 COMMENTAIRES DE L'ENSEIGNANT</t>
  </si>
  <si>
    <t xml:space="preserve">Date: </t>
  </si>
  <si>
    <t>Nom:</t>
  </si>
  <si>
    <t>Classe: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</si>
</sst>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&quot; DH&quot;"/>
    <numFmt numFmtId="165" formatCode="#,##0&quot; DH&quot;"/>
    <numFmt numFmtId="166" formatCode="#,##0.000"/>
  </numFmts>
  <fonts count="47" x14ac:knownFonts="1">
    <font>
      <sz val="11"/>
      <color theme="1"/>
      <name val="Calibri"/>
      <family val="2"/>
      <charset val="1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FFF9C4"/>
      <name val="Calibri"/>
      <family val="2"/>
    </font>
    <font>
      <b/>
      <sz val="11"/>
      <color rgb="FFFFFFFF"/>
      <name val="Calibri"/>
      <family val="2"/>
    </font>
    <font>
      <b/>
      <sz val="13"/>
      <color rgb="FFFFFFFF"/>
      <name val="Calibri"/>
      <family val="2"/>
    </font>
    <font>
      <b/>
      <sz val="10"/>
      <color rgb="FF1B5E20"/>
      <name val="Calibri"/>
      <family val="2"/>
    </font>
    <font>
      <b/>
      <sz val="12"/>
      <color rgb="FFBF360C"/>
      <name val="Calibri"/>
      <family val="2"/>
    </font>
    <font>
      <b/>
      <sz val="12"/>
      <color rgb="FF004D40"/>
      <name val="Calibri"/>
      <family val="2"/>
    </font>
    <font>
      <b/>
      <sz val="10"/>
      <color rgb="FFC62828"/>
      <name val="Calibri"/>
      <family val="2"/>
    </font>
    <font>
      <sz val="18"/>
      <color rgb="FF004D40"/>
      <name val="Calibri"/>
      <family val="2"/>
    </font>
    <font>
      <sz val="14"/>
      <color rgb="FF00695C"/>
      <name val="Calibri"/>
      <family val="2"/>
    </font>
    <font>
      <sz val="14"/>
      <color rgb="FFBF360C"/>
      <name val="Calibri"/>
      <family val="2"/>
    </font>
    <font>
      <sz val="16"/>
      <color rgb="FFBF360C"/>
      <name val="Calibri"/>
      <family val="2"/>
    </font>
    <font>
      <i/>
      <sz val="12"/>
      <color rgb="FFFF0000"/>
      <name val="Calibri"/>
      <family val="2"/>
    </font>
    <font>
      <b/>
      <i/>
      <sz val="12"/>
      <color rgb="FFFF0000"/>
      <name val="Calibri"/>
      <family val="2"/>
    </font>
    <font>
      <sz val="14"/>
      <color rgb="FF0D47A1"/>
      <name val="Calibri"/>
      <family val="2"/>
    </font>
    <font>
      <b/>
      <sz val="14"/>
      <color rgb="FFFFFFFF"/>
      <name val="Calibri"/>
      <family val="2"/>
    </font>
    <font>
      <sz val="12"/>
      <color rgb="FF1565C0"/>
      <name val="Calibri"/>
      <family val="2"/>
    </font>
    <font>
      <sz val="14"/>
      <color rgb="FF1B5E20"/>
      <name val="Calibri"/>
      <family val="2"/>
    </font>
    <font>
      <sz val="12"/>
      <color rgb="FF2E7D32"/>
      <name val="Calibri"/>
      <family val="2"/>
    </font>
    <font>
      <sz val="12"/>
      <color rgb="FFE65100"/>
      <name val="Calibri"/>
      <family val="2"/>
    </font>
    <font>
      <b/>
      <sz val="12"/>
      <color theme="0"/>
      <name val="Calibri"/>
      <family val="2"/>
    </font>
    <font>
      <sz val="12"/>
      <color rgb="FF6A1B9A"/>
      <name val="Calibri"/>
      <family val="2"/>
    </font>
    <font>
      <sz val="14"/>
      <color rgb="FF4A148C"/>
      <name val="Calibri"/>
      <family val="2"/>
    </font>
    <font>
      <b/>
      <sz val="14"/>
      <color theme="0"/>
      <name val="Calibri"/>
      <family val="2"/>
    </font>
    <font>
      <b/>
      <sz val="14"/>
      <color rgb="FFFFF9C4"/>
      <name val="Calibri"/>
      <family val="2"/>
    </font>
    <font>
      <sz val="14"/>
      <color theme="1"/>
      <name val="Calibri"/>
      <family val="2"/>
    </font>
    <font>
      <b/>
      <sz val="14"/>
      <color rgb="FFC62828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1"/>
      <name val="Calibri"/>
    </font>
    <font>
      <b/>
      <sz val="12"/>
      <color rgb="FFC00000"/>
      <name val="Calibri"/>
    </font>
    <font>
      <b/>
      <sz val="14"/>
      <color rgb="FF006100"/>
      <name val="Calibri"/>
    </font>
    <font>
      <b/>
      <sz val="18"/>
      <name val="Calibri"/>
      <family val="2"/>
    </font>
    <font>
      <b/>
      <sz val="18"/>
      <color rgb="FFC00000"/>
      <name val="Calibri"/>
      <family val="2"/>
    </font>
    <font>
      <b/>
      <sz val="18"/>
      <color rgb="FF006100"/>
      <name val="Calibri"/>
      <family val="2"/>
    </font>
    <font>
      <sz val="8"/>
      <name val="Calibri"/>
      <family val="2"/>
      <charset val="1"/>
    </font>
    <font>
      <b/>
      <sz val="14"/>
      <color theme="1"/>
      <name val="Calibri"/>
      <family val="2"/>
    </font>
    <font>
      <b/>
      <sz val="6"/>
      <color theme="1"/>
      <name val="Calibri"/>
      <family val="2"/>
    </font>
    <font>
      <b/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1565C0"/>
        <bgColor rgb="FF0D47A1"/>
      </patternFill>
    </fill>
    <fill>
      <patternFill patternType="solid">
        <fgColor rgb="FFBBDEFB"/>
        <bgColor rgb="FFC8E6C9"/>
      </patternFill>
    </fill>
    <fill>
      <patternFill patternType="solid">
        <fgColor rgb="FFFFF9C4"/>
        <bgColor rgb="FFFFFF99"/>
      </patternFill>
    </fill>
    <fill>
      <patternFill patternType="solid">
        <fgColor rgb="FFEBF5FB"/>
        <bgColor rgb="FFFDFEFE"/>
      </patternFill>
    </fill>
    <fill>
      <patternFill patternType="solid">
        <fgColor rgb="FFFDFEFE"/>
        <bgColor rgb="FFFFFFFF"/>
      </patternFill>
    </fill>
    <fill>
      <patternFill patternType="solid">
        <fgColor rgb="FF1B5E20"/>
        <bgColor rgb="FF2E7D32"/>
      </patternFill>
    </fill>
    <fill>
      <patternFill patternType="solid">
        <fgColor rgb="FF2E7D32"/>
        <bgColor rgb="FF1B5E20"/>
      </patternFill>
    </fill>
    <fill>
      <patternFill patternType="solid">
        <fgColor rgb="FFC8E6C9"/>
        <bgColor rgb="FFCCCCFF"/>
      </patternFill>
    </fill>
    <fill>
      <patternFill patternType="solid">
        <fgColor rgb="FFFFCDD2"/>
        <bgColor rgb="FFCCCCFF"/>
      </patternFill>
    </fill>
    <fill>
      <patternFill patternType="solid">
        <fgColor rgb="FFE65100"/>
        <bgColor rgb="FFBF360C"/>
      </patternFill>
    </fill>
    <fill>
      <patternFill patternType="solid">
        <fgColor rgb="FFFFE0B2"/>
        <bgColor rgb="FFFFCDD2"/>
      </patternFill>
    </fill>
    <fill>
      <patternFill patternType="solid">
        <fgColor rgb="FF6A1B9A"/>
        <bgColor rgb="FF4A148C"/>
      </patternFill>
    </fill>
    <fill>
      <patternFill patternType="solid">
        <fgColor rgb="FFE1BEE7"/>
        <bgColor rgb="FFFFCDD2"/>
      </patternFill>
    </fill>
    <fill>
      <patternFill patternType="solid">
        <fgColor rgb="FF00695C"/>
        <bgColor rgb="FF008080"/>
      </patternFill>
    </fill>
    <fill>
      <patternFill patternType="solid">
        <fgColor rgb="FFB2DFDB"/>
        <bgColor rgb="FFCCCC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03864"/>
        <bgColor rgb="FF203864"/>
      </patternFill>
    </fill>
    <fill>
      <patternFill patternType="solid">
        <fgColor rgb="FF5B9BD5"/>
        <bgColor rgb="FF5B9BD5"/>
      </patternFill>
    </fill>
    <fill>
      <patternFill patternType="solid">
        <fgColor rgb="FFE7E6E6"/>
        <bgColor rgb="FFE7E6E6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F2F2F2"/>
        <bgColor rgb="FFF2F2F2"/>
      </patternFill>
    </fill>
  </fills>
  <borders count="21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BFBFBF"/>
      </left>
      <right style="thick">
        <color indexed="64"/>
      </right>
      <top style="thin">
        <color rgb="FFBFBFBF"/>
      </top>
      <bottom style="thin">
        <color rgb="FFBFBFBF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ash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ashed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hair">
        <color rgb="FFFF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right" vertical="center"/>
    </xf>
    <xf numFmtId="9" fontId="1" fillId="11" borderId="2" xfId="0" applyNumberFormat="1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9" fontId="6" fillId="13" borderId="2" xfId="0" applyNumberFormat="1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right" vertical="center"/>
    </xf>
    <xf numFmtId="164" fontId="1" fillId="15" borderId="2" xfId="0" applyNumberFormat="1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1" fontId="18" fillId="4" borderId="2" xfId="0" applyNumberFormat="1" applyFont="1" applyFill="1" applyBorder="1" applyAlignment="1">
      <alignment horizontal="center" vertical="center"/>
    </xf>
    <xf numFmtId="164" fontId="17" fillId="4" borderId="2" xfId="0" applyNumberFormat="1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2" fontId="17" fillId="4" borderId="2" xfId="0" applyNumberFormat="1" applyFont="1" applyFill="1" applyBorder="1" applyAlignment="1">
      <alignment horizontal="center" vertical="center"/>
    </xf>
    <xf numFmtId="164" fontId="25" fillId="11" borderId="2" xfId="0" applyNumberFormat="1" applyFont="1" applyFill="1" applyBorder="1" applyAlignment="1">
      <alignment horizontal="center" vertical="center"/>
    </xf>
    <xf numFmtId="164" fontId="18" fillId="4" borderId="2" xfId="0" applyNumberFormat="1" applyFont="1" applyFill="1" applyBorder="1" applyAlignment="1">
      <alignment horizontal="center" vertical="center"/>
    </xf>
    <xf numFmtId="164" fontId="28" fillId="13" borderId="2" xfId="0" applyNumberFormat="1" applyFont="1" applyFill="1" applyBorder="1" applyAlignment="1">
      <alignment horizontal="center" vertical="center"/>
    </xf>
    <xf numFmtId="166" fontId="18" fillId="4" borderId="2" xfId="0" applyNumberFormat="1" applyFont="1" applyFill="1" applyBorder="1" applyAlignment="1">
      <alignment horizontal="center" vertical="center"/>
    </xf>
    <xf numFmtId="166" fontId="29" fillId="15" borderId="2" xfId="0" applyNumberFormat="1" applyFont="1" applyFill="1" applyBorder="1" applyAlignment="1">
      <alignment horizontal="center" vertical="center"/>
    </xf>
    <xf numFmtId="0" fontId="30" fillId="0" borderId="0" xfId="0" applyFont="1"/>
    <xf numFmtId="164" fontId="31" fillId="10" borderId="2" xfId="0" applyNumberFormat="1" applyFont="1" applyFill="1" applyBorder="1" applyAlignment="1">
      <alignment horizontal="center" vertical="center"/>
    </xf>
    <xf numFmtId="0" fontId="33" fillId="17" borderId="8" xfId="0" applyFont="1" applyFill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4" fillId="8" borderId="2" xfId="0" applyFont="1" applyFill="1" applyBorder="1" applyAlignment="1">
      <alignment horizontal="center" vertical="center"/>
    </xf>
    <xf numFmtId="0" fontId="2" fillId="15" borderId="10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3" fillId="17" borderId="8" xfId="0" applyFont="1" applyFill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164" fontId="33" fillId="0" borderId="6" xfId="0" applyNumberFormat="1" applyFont="1" applyBorder="1" applyAlignment="1">
      <alignment horizontal="center" vertical="center" wrapText="1"/>
    </xf>
    <xf numFmtId="9" fontId="33" fillId="0" borderId="6" xfId="0" applyNumberFormat="1" applyFont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0" fillId="0" borderId="11" xfId="0" applyBorder="1"/>
    <xf numFmtId="0" fontId="33" fillId="0" borderId="12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 wrapText="1"/>
    </xf>
    <xf numFmtId="0" fontId="36" fillId="20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0" fontId="38" fillId="0" borderId="16" xfId="0" applyNumberFormat="1" applyFont="1" applyBorder="1" applyAlignment="1">
      <alignment horizontal="center" vertical="center"/>
    </xf>
    <xf numFmtId="2" fontId="39" fillId="0" borderId="16" xfId="0" applyNumberFormat="1" applyFont="1" applyBorder="1" applyAlignment="1">
      <alignment horizontal="center" vertical="center"/>
    </xf>
    <xf numFmtId="10" fontId="41" fillId="0" borderId="16" xfId="0" applyNumberFormat="1" applyFont="1" applyBorder="1" applyAlignment="1">
      <alignment horizontal="center"/>
    </xf>
    <xf numFmtId="2" fontId="42" fillId="0" borderId="16" xfId="0" applyNumberFormat="1" applyFont="1" applyBorder="1" applyAlignment="1">
      <alignment horizontal="center"/>
    </xf>
    <xf numFmtId="10" fontId="41" fillId="0" borderId="0" xfId="0" applyNumberFormat="1" applyFont="1" applyAlignment="1">
      <alignment horizontal="center"/>
    </xf>
    <xf numFmtId="2" fontId="42" fillId="0" borderId="0" xfId="0" applyNumberFormat="1" applyFont="1" applyAlignment="1">
      <alignment horizontal="center"/>
    </xf>
    <xf numFmtId="0" fontId="37" fillId="21" borderId="16" xfId="0" applyFont="1" applyFill="1" applyBorder="1" applyAlignment="1">
      <alignment horizontal="center" vertical="center"/>
    </xf>
    <xf numFmtId="2" fontId="3" fillId="9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4" fillId="17" borderId="20" xfId="0" applyFont="1" applyFill="1" applyBorder="1" applyAlignment="1">
      <alignment horizontal="center" vertical="center"/>
    </xf>
    <xf numFmtId="0" fontId="46" fillId="0" borderId="16" xfId="0" applyFont="1" applyBorder="1" applyAlignment="1">
      <alignment horizontal="center" vertical="center"/>
    </xf>
    <xf numFmtId="14" fontId="46" fillId="0" borderId="16" xfId="0" applyNumberFormat="1" applyFont="1" applyBorder="1" applyAlignment="1">
      <alignment horizontal="center" vertical="center"/>
    </xf>
    <xf numFmtId="49" fontId="46" fillId="0" borderId="16" xfId="0" applyNumberFormat="1" applyFont="1" applyBorder="1" applyAlignment="1">
      <alignment horizontal="center" vertical="center"/>
    </xf>
    <xf numFmtId="0" fontId="45" fillId="17" borderId="20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0" fillId="22" borderId="19" xfId="0" applyFont="1" applyFill="1" applyBorder="1" applyAlignment="1">
      <alignment horizontal="center" vertical="center"/>
    </xf>
    <xf numFmtId="0" fontId="40" fillId="22" borderId="18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0" fillId="0" borderId="0" xfId="0"/>
    <xf numFmtId="0" fontId="5" fillId="11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14" fillId="16" borderId="2" xfId="0" applyFont="1" applyFill="1" applyBorder="1" applyAlignment="1">
      <alignment horizontal="center" vertical="center" wrapText="1"/>
    </xf>
    <xf numFmtId="0" fontId="32" fillId="18" borderId="7" xfId="0" applyFont="1" applyFill="1" applyBorder="1" applyAlignment="1">
      <alignment horizontal="center" vertical="center"/>
    </xf>
    <xf numFmtId="0" fontId="0" fillId="0" borderId="9" xfId="0" applyBorder="1"/>
    <xf numFmtId="0" fontId="8" fillId="13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26" fillId="14" borderId="2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7" fillId="14" borderId="2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0" fillId="24" borderId="16" xfId="0" applyFill="1" applyBorder="1" applyAlignment="1">
      <alignment horizontal="left" vertical="top" wrapText="1"/>
    </xf>
    <xf numFmtId="0" fontId="8" fillId="15" borderId="2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 wrapText="1"/>
    </xf>
    <xf numFmtId="0" fontId="24" fillId="12" borderId="2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/>
    </xf>
    <xf numFmtId="0" fontId="36" fillId="20" borderId="0" xfId="0" applyFont="1" applyFill="1" applyAlignment="1">
      <alignment horizontal="center"/>
    </xf>
    <xf numFmtId="0" fontId="12" fillId="10" borderId="1" xfId="0" applyFont="1" applyFill="1" applyBorder="1" applyAlignment="1">
      <alignment horizontal="center" vertical="center"/>
    </xf>
    <xf numFmtId="0" fontId="35" fillId="19" borderId="0" xfId="0" applyFont="1" applyFill="1" applyAlignment="1">
      <alignment horizontal="center" vertical="center"/>
    </xf>
    <xf numFmtId="0" fontId="5" fillId="23" borderId="0" xfId="0" applyFont="1" applyFill="1" applyAlignment="1">
      <alignment horizontal="center"/>
    </xf>
    <xf numFmtId="0" fontId="23" fillId="9" borderId="1" xfId="0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3" fillId="16" borderId="2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EBF5FB"/>
      <rgbColor rgb="FF660066"/>
      <rgbColor rgb="FFFF8080"/>
      <rgbColor rgb="FF1565C0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FEFE"/>
      <rgbColor rgb="FFC8E6C9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99"/>
      <rgbColor rgb="FF9E9E9E"/>
      <rgbColor rgb="FF0D47A1"/>
      <rgbColor rgb="FF2E7D32"/>
      <rgbColor rgb="FF003300"/>
      <rgbColor rgb="FF5D4037"/>
      <rgbColor rgb="FFC628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6"/>
  <sheetViews>
    <sheetView showGridLines="0" tabSelected="1" zoomScaleNormal="100" workbookViewId="0">
      <selection activeCell="F158" sqref="F158"/>
    </sheetView>
  </sheetViews>
  <sheetFormatPr baseColWidth="10" defaultColWidth="8.6640625" defaultRowHeight="14.4" x14ac:dyDescent="0.3"/>
  <cols>
    <col min="1" max="1" width="25" customWidth="1"/>
    <col min="2" max="2" width="20" customWidth="1"/>
    <col min="3" max="3" width="17.77734375" bestFit="1" customWidth="1"/>
    <col min="4" max="4" width="18.44140625" bestFit="1" customWidth="1"/>
    <col min="5" max="5" width="19" bestFit="1" customWidth="1"/>
    <col min="6" max="6" width="16.77734375" bestFit="1" customWidth="1"/>
    <col min="7" max="7" width="18" customWidth="1"/>
    <col min="8" max="8" width="14.44140625" customWidth="1"/>
    <col min="9" max="9" width="18.21875" customWidth="1"/>
    <col min="10" max="10" width="16.21875" style="40" customWidth="1"/>
    <col min="11" max="11" width="15.33203125" bestFit="1" customWidth="1"/>
    <col min="12" max="12" width="8.6640625" customWidth="1"/>
  </cols>
  <sheetData>
    <row r="1" spans="1:11" s="65" customFormat="1" ht="21.6" customHeight="1" x14ac:dyDescent="0.3">
      <c r="B1" s="68" t="s">
        <v>128</v>
      </c>
      <c r="C1" s="72" t="s">
        <v>130</v>
      </c>
      <c r="D1" s="72"/>
      <c r="E1" s="72"/>
      <c r="F1" s="68" t="s">
        <v>129</v>
      </c>
      <c r="G1" s="68" t="s">
        <v>123</v>
      </c>
      <c r="J1" s="66"/>
    </row>
    <row r="2" spans="1:11" s="65" customFormat="1" ht="11.4" customHeight="1" x14ac:dyDescent="0.3">
      <c r="C2" s="67"/>
      <c r="D2" s="67"/>
      <c r="E2" s="67"/>
      <c r="J2" s="66"/>
    </row>
    <row r="3" spans="1:11" ht="43.5" customHeight="1" x14ac:dyDescent="0.3">
      <c r="A3" s="78" t="s">
        <v>0</v>
      </c>
      <c r="B3" s="79"/>
      <c r="C3" s="79"/>
      <c r="D3" s="79"/>
      <c r="E3" s="79"/>
      <c r="F3" s="79"/>
      <c r="G3" s="79"/>
    </row>
    <row r="4" spans="1:11" ht="43.5" customHeight="1" x14ac:dyDescent="0.3">
      <c r="A4" s="92" t="s">
        <v>1</v>
      </c>
      <c r="B4" s="79"/>
      <c r="C4" s="79"/>
      <c r="D4" s="79"/>
      <c r="E4" s="79"/>
      <c r="F4" s="79"/>
      <c r="G4" s="79"/>
    </row>
    <row r="5" spans="1:11" ht="30" customHeight="1" x14ac:dyDescent="0.3">
      <c r="A5" s="90" t="s">
        <v>2</v>
      </c>
      <c r="B5" s="79"/>
      <c r="C5" s="79"/>
      <c r="D5" s="79"/>
      <c r="E5" s="79"/>
      <c r="F5" s="79"/>
      <c r="G5" s="79"/>
    </row>
    <row r="6" spans="1:11" ht="9.75" customHeight="1" x14ac:dyDescent="0.3"/>
    <row r="7" spans="1:11" ht="7.5" customHeight="1" x14ac:dyDescent="0.3"/>
    <row r="8" spans="1:11" ht="30" customHeight="1" x14ac:dyDescent="0.3">
      <c r="B8" s="1" t="s">
        <v>3</v>
      </c>
      <c r="C8" s="1" t="s">
        <v>4</v>
      </c>
      <c r="D8" s="1" t="s">
        <v>5</v>
      </c>
      <c r="E8" s="1" t="s">
        <v>6</v>
      </c>
      <c r="F8" s="1" t="s">
        <v>7</v>
      </c>
    </row>
    <row r="9" spans="1:11" ht="27.75" customHeight="1" x14ac:dyDescent="0.3">
      <c r="B9" s="2" t="s">
        <v>8</v>
      </c>
      <c r="C9" s="3" t="s">
        <v>9</v>
      </c>
      <c r="D9" s="4">
        <v>4.5</v>
      </c>
      <c r="E9" s="5">
        <v>2</v>
      </c>
      <c r="F9" s="26" t="s">
        <v>10</v>
      </c>
    </row>
    <row r="10" spans="1:11" ht="27.75" customHeight="1" x14ac:dyDescent="0.3">
      <c r="B10" s="6" t="s">
        <v>11</v>
      </c>
      <c r="C10" s="7" t="s">
        <v>12</v>
      </c>
      <c r="D10" s="8">
        <v>7.2</v>
      </c>
      <c r="E10" s="9">
        <v>3</v>
      </c>
      <c r="F10" s="26" t="s">
        <v>10</v>
      </c>
      <c r="J10" s="84" t="s">
        <v>13</v>
      </c>
      <c r="K10" s="85"/>
    </row>
    <row r="11" spans="1:11" ht="27.75" customHeight="1" x14ac:dyDescent="0.3">
      <c r="B11" s="2" t="s">
        <v>14</v>
      </c>
      <c r="C11" s="3" t="s">
        <v>12</v>
      </c>
      <c r="D11" s="4">
        <v>9.8000000000000007</v>
      </c>
      <c r="E11" s="5">
        <v>2</v>
      </c>
      <c r="F11" s="26" t="s">
        <v>10</v>
      </c>
      <c r="J11" s="41" t="s">
        <v>15</v>
      </c>
      <c r="K11" s="36" t="s">
        <v>16</v>
      </c>
    </row>
    <row r="12" spans="1:11" ht="27.75" customHeight="1" x14ac:dyDescent="0.3">
      <c r="B12" s="6" t="s">
        <v>17</v>
      </c>
      <c r="C12" s="7" t="s">
        <v>18</v>
      </c>
      <c r="D12" s="8">
        <v>5.5</v>
      </c>
      <c r="E12" s="9">
        <v>1</v>
      </c>
      <c r="F12" s="26" t="s">
        <v>10</v>
      </c>
      <c r="J12" s="42" t="str">
        <f>F8</f>
        <v>💰 Montant (DH)</v>
      </c>
      <c r="K12" s="37" t="str">
        <f>IF(AND(_xlfn.ISFORMULA(F9),F9=D9*E9),"✅","❌")</f>
        <v>❌</v>
      </c>
    </row>
    <row r="13" spans="1:11" ht="27.75" customHeight="1" x14ac:dyDescent="0.3">
      <c r="B13" s="2" t="s">
        <v>19</v>
      </c>
      <c r="C13" s="3" t="s">
        <v>20</v>
      </c>
      <c r="D13" s="4">
        <v>32</v>
      </c>
      <c r="E13" s="5">
        <v>1</v>
      </c>
      <c r="F13" s="26" t="s">
        <v>10</v>
      </c>
      <c r="J13" s="42" t="str">
        <f>B17</f>
        <v>TOTAL À PAYER</v>
      </c>
      <c r="K13" s="37" t="str">
        <f>IF(AND(_xlfn.ISFORMULA(F17),F17=SUM(F9:F15)),"✅","❌")</f>
        <v>❌</v>
      </c>
    </row>
    <row r="14" spans="1:11" ht="27.75" customHeight="1" x14ac:dyDescent="0.3">
      <c r="B14" s="6" t="s">
        <v>21</v>
      </c>
      <c r="C14" s="7" t="s">
        <v>22</v>
      </c>
      <c r="D14" s="8">
        <v>12.5</v>
      </c>
      <c r="E14" s="9">
        <v>2</v>
      </c>
      <c r="F14" s="26" t="s">
        <v>10</v>
      </c>
    </row>
    <row r="15" spans="1:11" ht="27.75" customHeight="1" x14ac:dyDescent="0.3">
      <c r="B15" s="2" t="s">
        <v>23</v>
      </c>
      <c r="C15" s="3" t="s">
        <v>24</v>
      </c>
      <c r="D15" s="4">
        <v>8</v>
      </c>
      <c r="E15" s="5">
        <v>3</v>
      </c>
      <c r="F15" s="26" t="s">
        <v>10</v>
      </c>
    </row>
    <row r="16" spans="1:11" ht="9.75" customHeight="1" x14ac:dyDescent="0.3"/>
    <row r="17" spans="1:11" ht="36" customHeight="1" x14ac:dyDescent="0.3">
      <c r="B17" s="105" t="s">
        <v>25</v>
      </c>
      <c r="C17" s="81"/>
      <c r="D17" s="81"/>
      <c r="E17" s="81"/>
      <c r="F17" s="63" t="s">
        <v>10</v>
      </c>
    </row>
    <row r="19" spans="1:11" ht="9.75" customHeight="1" x14ac:dyDescent="0.3"/>
    <row r="20" spans="1:11" ht="43.5" customHeight="1" x14ac:dyDescent="0.3">
      <c r="A20" s="88" t="s">
        <v>26</v>
      </c>
      <c r="B20" s="81"/>
      <c r="C20" s="81"/>
      <c r="D20" s="81"/>
      <c r="E20" s="81"/>
      <c r="F20" s="81"/>
      <c r="G20" s="81"/>
    </row>
    <row r="21" spans="1:11" ht="45.75" customHeight="1" x14ac:dyDescent="0.3">
      <c r="A21" s="107" t="s">
        <v>27</v>
      </c>
      <c r="B21" s="81"/>
      <c r="C21" s="81"/>
      <c r="D21" s="81"/>
      <c r="E21" s="81"/>
      <c r="F21" s="81"/>
      <c r="G21" s="81"/>
    </row>
    <row r="22" spans="1:11" ht="30" customHeight="1" x14ac:dyDescent="0.3">
      <c r="A22" s="102" t="s">
        <v>28</v>
      </c>
      <c r="B22" s="81"/>
      <c r="C22" s="81"/>
      <c r="D22" s="81"/>
      <c r="E22" s="81"/>
      <c r="F22" s="81"/>
      <c r="G22" s="81"/>
    </row>
    <row r="23" spans="1:11" ht="9.75" customHeight="1" x14ac:dyDescent="0.3"/>
    <row r="24" spans="1:11" ht="37.5" customHeight="1" x14ac:dyDescent="0.3">
      <c r="B24" s="27" t="s">
        <v>29</v>
      </c>
      <c r="C24" s="11">
        <v>1</v>
      </c>
      <c r="D24" s="27" t="s">
        <v>30</v>
      </c>
      <c r="E24" s="11">
        <v>2</v>
      </c>
      <c r="F24" s="27" t="s">
        <v>31</v>
      </c>
      <c r="G24" s="11">
        <v>3</v>
      </c>
    </row>
    <row r="25" spans="1:11" ht="7.5" customHeight="1" x14ac:dyDescent="0.3"/>
    <row r="26" spans="1:11" ht="30" customHeight="1" x14ac:dyDescent="0.3">
      <c r="B26" s="10" t="s">
        <v>32</v>
      </c>
      <c r="C26" s="10" t="s">
        <v>134</v>
      </c>
      <c r="D26" s="10" t="s">
        <v>135</v>
      </c>
      <c r="E26" s="10" t="s">
        <v>133</v>
      </c>
      <c r="F26" s="38" t="s">
        <v>33</v>
      </c>
    </row>
    <row r="27" spans="1:11" ht="27.75" customHeight="1" x14ac:dyDescent="0.3">
      <c r="B27" s="2" t="s">
        <v>34</v>
      </c>
      <c r="C27" s="5">
        <v>12</v>
      </c>
      <c r="D27" s="5">
        <v>14</v>
      </c>
      <c r="E27" s="5">
        <v>16</v>
      </c>
      <c r="F27" s="28" t="s">
        <v>10</v>
      </c>
      <c r="J27" s="84" t="s">
        <v>35</v>
      </c>
      <c r="K27" s="85"/>
    </row>
    <row r="28" spans="1:11" ht="27.75" customHeight="1" x14ac:dyDescent="0.3">
      <c r="B28" s="6" t="s">
        <v>36</v>
      </c>
      <c r="C28" s="9">
        <v>18</v>
      </c>
      <c r="D28" s="9">
        <v>17</v>
      </c>
      <c r="E28" s="9">
        <v>19</v>
      </c>
      <c r="F28" s="28" t="s">
        <v>10</v>
      </c>
      <c r="J28" s="41" t="s">
        <v>15</v>
      </c>
      <c r="K28" s="36" t="s">
        <v>16</v>
      </c>
    </row>
    <row r="29" spans="1:11" ht="27.75" customHeight="1" x14ac:dyDescent="0.3">
      <c r="B29" s="2" t="s">
        <v>37</v>
      </c>
      <c r="C29" s="5">
        <v>8</v>
      </c>
      <c r="D29" s="5">
        <v>11</v>
      </c>
      <c r="E29" s="5">
        <v>9</v>
      </c>
      <c r="F29" s="28" t="s">
        <v>10</v>
      </c>
      <c r="J29" s="42" t="str">
        <f>F26</f>
        <v>Moyenne pondérée</v>
      </c>
      <c r="K29" s="37" t="str">
        <f>IF(AND(_xlfn.ISFORMULA(F27),F27=(C27*$C$24+D27*$E$24+E27*$G$24)/SUM($C$24,$E$24,$G$24)),"✅","❌")</f>
        <v>❌</v>
      </c>
    </row>
    <row r="30" spans="1:11" ht="27.75" customHeight="1" x14ac:dyDescent="0.3">
      <c r="B30" s="6" t="s">
        <v>38</v>
      </c>
      <c r="C30" s="9">
        <v>15</v>
      </c>
      <c r="D30" s="9">
        <v>13</v>
      </c>
      <c r="E30" s="9">
        <v>17</v>
      </c>
      <c r="F30" s="28" t="s">
        <v>10</v>
      </c>
      <c r="J30" s="42" t="str">
        <f>C36</f>
        <v>1er de la classe</v>
      </c>
      <c r="K30" s="37" t="str">
        <f>IF(AND(_xlfn.ISFORMULA(C37),C37=MAX(F27:F33)),"✅","❌")</f>
        <v>❌</v>
      </c>
    </row>
    <row r="31" spans="1:11" ht="27.75" customHeight="1" x14ac:dyDescent="0.3">
      <c r="B31" s="2" t="s">
        <v>39</v>
      </c>
      <c r="C31" s="5">
        <v>10</v>
      </c>
      <c r="D31" s="5">
        <v>12</v>
      </c>
      <c r="E31" s="5">
        <v>14</v>
      </c>
      <c r="F31" s="28" t="s">
        <v>10</v>
      </c>
      <c r="J31" s="42" t="str">
        <f>D36</f>
        <v>Le dernier de la classe</v>
      </c>
      <c r="K31" s="37" t="str">
        <f>IF(AND(_xlfn.ISFORMULA(D37),D37=MIN(F27:F33)),"✅","❌")</f>
        <v>❌</v>
      </c>
    </row>
    <row r="32" spans="1:11" ht="27.75" customHeight="1" x14ac:dyDescent="0.3">
      <c r="B32" s="6" t="s">
        <v>40</v>
      </c>
      <c r="C32" s="9">
        <v>19</v>
      </c>
      <c r="D32" s="9">
        <v>18</v>
      </c>
      <c r="E32" s="9">
        <v>20</v>
      </c>
      <c r="F32" s="28" t="s">
        <v>10</v>
      </c>
      <c r="J32" s="42" t="str">
        <f>E36</f>
        <v>MOYENNE classe</v>
      </c>
      <c r="K32" s="37" t="str">
        <f>IFERROR(IF(AND(_xlfn.ISFORMULA(E37),E37=AVERAGE(F27:F33)),"✅","❌"),"❌")</f>
        <v>❌</v>
      </c>
    </row>
    <row r="33" spans="1:11" ht="27.75" customHeight="1" x14ac:dyDescent="0.3">
      <c r="B33" s="2" t="s">
        <v>41</v>
      </c>
      <c r="C33" s="5">
        <v>14</v>
      </c>
      <c r="D33" s="5">
        <v>9</v>
      </c>
      <c r="E33" s="5">
        <v>11</v>
      </c>
      <c r="F33" s="28" t="s">
        <v>10</v>
      </c>
    </row>
    <row r="35" spans="1:11" ht="9.75" customHeight="1" x14ac:dyDescent="0.3"/>
    <row r="36" spans="1:11" ht="27.75" customHeight="1" x14ac:dyDescent="0.3">
      <c r="C36" s="12" t="s">
        <v>131</v>
      </c>
      <c r="D36" s="12" t="s">
        <v>132</v>
      </c>
      <c r="E36" s="12" t="s">
        <v>42</v>
      </c>
    </row>
    <row r="37" spans="1:11" ht="30" customHeight="1" x14ac:dyDescent="0.3">
      <c r="C37" s="62" t="s">
        <v>10</v>
      </c>
      <c r="D37" s="62" t="s">
        <v>10</v>
      </c>
      <c r="E37" s="62" t="s">
        <v>10</v>
      </c>
    </row>
    <row r="39" spans="1:11" ht="43.5" customHeight="1" x14ac:dyDescent="0.3">
      <c r="A39" s="87" t="s">
        <v>43</v>
      </c>
      <c r="B39" s="81"/>
      <c r="C39" s="81"/>
      <c r="D39" s="81"/>
      <c r="E39" s="81"/>
      <c r="F39" s="81"/>
      <c r="G39" s="82"/>
    </row>
    <row r="40" spans="1:11" ht="45.75" customHeight="1" x14ac:dyDescent="0.3">
      <c r="A40" s="103" t="s">
        <v>44</v>
      </c>
      <c r="B40" s="81"/>
      <c r="C40" s="81"/>
      <c r="D40" s="81"/>
      <c r="E40" s="81"/>
      <c r="F40" s="81"/>
      <c r="G40" s="82"/>
    </row>
    <row r="41" spans="1:11" ht="30" customHeight="1" x14ac:dyDescent="0.3">
      <c r="A41" s="96" t="s">
        <v>45</v>
      </c>
      <c r="B41" s="81"/>
      <c r="C41" s="81"/>
      <c r="D41" s="81"/>
      <c r="E41" s="81"/>
      <c r="F41" s="81"/>
      <c r="G41" s="82"/>
    </row>
    <row r="42" spans="1:11" ht="9.75" customHeight="1" x14ac:dyDescent="0.3"/>
    <row r="43" spans="1:11" ht="36" customHeight="1" x14ac:dyDescent="0.3">
      <c r="B43" s="13" t="s">
        <v>46</v>
      </c>
      <c r="C43" s="14">
        <v>0.1</v>
      </c>
    </row>
    <row r="44" spans="1:11" ht="7.5" customHeight="1" x14ac:dyDescent="0.3"/>
    <row r="45" spans="1:11" ht="30" customHeight="1" x14ac:dyDescent="0.3">
      <c r="B45" s="15" t="s">
        <v>47</v>
      </c>
      <c r="C45" s="15" t="s">
        <v>48</v>
      </c>
      <c r="D45" s="15" t="s">
        <v>49</v>
      </c>
      <c r="E45" s="15" t="s">
        <v>50</v>
      </c>
      <c r="F45" s="15" t="s">
        <v>51</v>
      </c>
      <c r="G45" s="15" t="s">
        <v>52</v>
      </c>
      <c r="J45" s="84" t="s">
        <v>53</v>
      </c>
      <c r="K45" s="85"/>
    </row>
    <row r="46" spans="1:11" ht="27.75" customHeight="1" x14ac:dyDescent="0.3">
      <c r="B46" s="5" t="s">
        <v>54</v>
      </c>
      <c r="C46" s="4">
        <v>45</v>
      </c>
      <c r="D46" s="5">
        <v>2</v>
      </c>
      <c r="E46" s="26" t="s">
        <v>10</v>
      </c>
      <c r="F46" s="26" t="s">
        <v>10</v>
      </c>
      <c r="G46" s="26" t="s">
        <v>10</v>
      </c>
      <c r="J46" s="41" t="s">
        <v>15</v>
      </c>
      <c r="K46" s="36" t="s">
        <v>16</v>
      </c>
    </row>
    <row r="47" spans="1:11" ht="27.75" customHeight="1" x14ac:dyDescent="0.3">
      <c r="B47" s="9" t="s">
        <v>55</v>
      </c>
      <c r="C47" s="8">
        <v>38</v>
      </c>
      <c r="D47" s="9">
        <v>1</v>
      </c>
      <c r="E47" s="26" t="s">
        <v>10</v>
      </c>
      <c r="F47" s="26" t="s">
        <v>10</v>
      </c>
      <c r="G47" s="26" t="s">
        <v>10</v>
      </c>
      <c r="J47" s="43" t="str">
        <f>E45</f>
        <v>Montant HT (DH)</v>
      </c>
      <c r="K47" s="37" t="str">
        <f>IF(AND(_xlfn.ISFORMULA(E46),E46=C46*D46),"✅","❌")</f>
        <v>❌</v>
      </c>
    </row>
    <row r="48" spans="1:11" ht="27.75" customHeight="1" x14ac:dyDescent="0.3">
      <c r="B48" s="5" t="s">
        <v>56</v>
      </c>
      <c r="C48" s="4">
        <v>52</v>
      </c>
      <c r="D48" s="5">
        <v>1</v>
      </c>
      <c r="E48" s="26" t="s">
        <v>10</v>
      </c>
      <c r="F48" s="26" t="s">
        <v>10</v>
      </c>
      <c r="G48" s="26" t="s">
        <v>10</v>
      </c>
      <c r="J48" s="42" t="str">
        <f>F45</f>
        <v>TVA 10% (DH)</v>
      </c>
      <c r="K48" s="37" t="str">
        <f>IFERROR(IF(AND(_xlfn.ISFORMULA(F46),F46=C$43*E46),"✅","❌"),"❌")</f>
        <v>❌</v>
      </c>
    </row>
    <row r="49" spans="1:11" ht="27.75" customHeight="1" x14ac:dyDescent="0.3">
      <c r="B49" s="9" t="s">
        <v>57</v>
      </c>
      <c r="C49" s="8">
        <v>65</v>
      </c>
      <c r="D49" s="9">
        <v>3</v>
      </c>
      <c r="E49" s="26" t="s">
        <v>10</v>
      </c>
      <c r="F49" s="26" t="s">
        <v>10</v>
      </c>
      <c r="G49" s="26" t="s">
        <v>10</v>
      </c>
      <c r="J49" s="42" t="str">
        <f>G45</f>
        <v>Montant TTC (DH)</v>
      </c>
      <c r="K49" s="37" t="str">
        <f>IFERROR(IF(AND(_xlfn.ISFORMULA(G46),G46=E46+F46),"✅","❌"),"❌")</f>
        <v>❌</v>
      </c>
    </row>
    <row r="50" spans="1:11" ht="27.75" customHeight="1" x14ac:dyDescent="0.3">
      <c r="B50" s="5" t="s">
        <v>58</v>
      </c>
      <c r="C50" s="4">
        <v>28</v>
      </c>
      <c r="D50" s="5">
        <v>2</v>
      </c>
      <c r="E50" s="26" t="s">
        <v>10</v>
      </c>
      <c r="F50" s="26" t="s">
        <v>10</v>
      </c>
      <c r="G50" s="26" t="s">
        <v>10</v>
      </c>
      <c r="J50" s="43" t="str">
        <f>B54</f>
        <v>💰  TOTAL ADDITION TABLE 5</v>
      </c>
      <c r="K50" s="37" t="str">
        <f>IFERROR(IF(AND(_xlfn.ISFORMULA(F54),F54=SUM(F46:F51)),"✅","❌"),"❌")</f>
        <v>❌</v>
      </c>
    </row>
    <row r="51" spans="1:11" ht="27.75" customHeight="1" x14ac:dyDescent="0.3">
      <c r="B51" s="9" t="s">
        <v>59</v>
      </c>
      <c r="C51" s="8">
        <v>12</v>
      </c>
      <c r="D51" s="9">
        <v>4</v>
      </c>
      <c r="E51" s="26" t="s">
        <v>10</v>
      </c>
      <c r="F51" s="26" t="s">
        <v>10</v>
      </c>
      <c r="G51" s="26" t="s">
        <v>10</v>
      </c>
      <c r="J51" s="43" t="str">
        <f>B54</f>
        <v>💰  TOTAL ADDITION TABLE 5</v>
      </c>
      <c r="K51" s="37" t="str">
        <f>IFERROR(IF(AND(_xlfn.ISFORMULA(G54),G54=SUM(G46:G51)),"✅","❌"),"❌")</f>
        <v>❌</v>
      </c>
    </row>
    <row r="53" spans="1:11" ht="9.75" customHeight="1" x14ac:dyDescent="0.3"/>
    <row r="54" spans="1:11" ht="36" customHeight="1" x14ac:dyDescent="0.3">
      <c r="B54" s="80" t="s">
        <v>60</v>
      </c>
      <c r="C54" s="81"/>
      <c r="D54" s="81"/>
      <c r="E54" s="82"/>
      <c r="F54" s="29" t="s">
        <v>10</v>
      </c>
      <c r="G54" s="29" t="s">
        <v>10</v>
      </c>
    </row>
    <row r="56" spans="1:11" ht="43.5" customHeight="1" x14ac:dyDescent="0.3">
      <c r="A56" s="86" t="s">
        <v>61</v>
      </c>
      <c r="B56" s="81"/>
      <c r="C56" s="81"/>
      <c r="D56" s="81"/>
      <c r="E56" s="81"/>
      <c r="F56" s="81"/>
      <c r="G56" s="82"/>
    </row>
    <row r="57" spans="1:11" ht="45.75" customHeight="1" x14ac:dyDescent="0.3">
      <c r="A57" s="91" t="s">
        <v>62</v>
      </c>
      <c r="B57" s="81"/>
      <c r="C57" s="81"/>
      <c r="D57" s="81"/>
      <c r="E57" s="81"/>
      <c r="F57" s="81"/>
      <c r="G57" s="82"/>
    </row>
    <row r="58" spans="1:11" ht="30" customHeight="1" x14ac:dyDescent="0.3">
      <c r="A58" s="89" t="s">
        <v>63</v>
      </c>
      <c r="B58" s="81"/>
      <c r="C58" s="81"/>
      <c r="D58" s="81"/>
      <c r="E58" s="81"/>
      <c r="F58" s="81"/>
      <c r="G58" s="82"/>
    </row>
    <row r="59" spans="1:11" ht="19.8" customHeight="1" x14ac:dyDescent="0.3"/>
    <row r="60" spans="1:11" ht="33.75" customHeight="1" x14ac:dyDescent="0.3">
      <c r="B60" s="16" t="s">
        <v>64</v>
      </c>
      <c r="C60" s="16" t="s">
        <v>65</v>
      </c>
      <c r="D60" s="17">
        <v>0.05</v>
      </c>
      <c r="E60" s="17">
        <v>0.08</v>
      </c>
      <c r="F60" s="17">
        <v>0.1</v>
      </c>
      <c r="G60" s="17">
        <v>0.15</v>
      </c>
      <c r="J60" s="84" t="s">
        <v>66</v>
      </c>
      <c r="K60" s="85"/>
    </row>
    <row r="61" spans="1:11" ht="21.6" customHeight="1" x14ac:dyDescent="0.3">
      <c r="J61" s="41" t="s">
        <v>15</v>
      </c>
      <c r="K61" s="36" t="s">
        <v>16</v>
      </c>
    </row>
    <row r="62" spans="1:11" ht="27.75" customHeight="1" x14ac:dyDescent="0.3">
      <c r="B62" s="5" t="s">
        <v>67</v>
      </c>
      <c r="C62" s="18">
        <v>2200</v>
      </c>
      <c r="D62" s="30" t="s">
        <v>10</v>
      </c>
      <c r="E62" s="30" t="s">
        <v>10</v>
      </c>
      <c r="F62" s="30" t="s">
        <v>10</v>
      </c>
      <c r="G62" s="30" t="s">
        <v>10</v>
      </c>
      <c r="J62" s="44">
        <f>D60</f>
        <v>0.05</v>
      </c>
      <c r="K62" s="37" t="str">
        <f>IFERROR(IF(AND(_xlfn.ISFORMULA(D62),D62=C62*D$60),"✅","❌"),"❌")</f>
        <v>❌</v>
      </c>
    </row>
    <row r="63" spans="1:11" ht="27.75" customHeight="1" x14ac:dyDescent="0.3">
      <c r="B63" s="9" t="s">
        <v>68</v>
      </c>
      <c r="C63" s="19">
        <v>2400</v>
      </c>
      <c r="D63" s="30" t="s">
        <v>10</v>
      </c>
      <c r="E63" s="30" t="s">
        <v>10</v>
      </c>
      <c r="F63" s="30" t="s">
        <v>10</v>
      </c>
      <c r="G63" s="30" t="s">
        <v>10</v>
      </c>
      <c r="J63" s="44">
        <f>E60</f>
        <v>0.08</v>
      </c>
      <c r="K63" s="37" t="str">
        <f>IFERROR(IF(AND(_xlfn.ISFORMULA(E62),E62=C62*E60),"✅","❌"),"❌")</f>
        <v>❌</v>
      </c>
    </row>
    <row r="64" spans="1:11" ht="27.75" customHeight="1" x14ac:dyDescent="0.3">
      <c r="B64" s="5" t="s">
        <v>69</v>
      </c>
      <c r="C64" s="18">
        <v>3500</v>
      </c>
      <c r="D64" s="30" t="s">
        <v>10</v>
      </c>
      <c r="E64" s="30" t="s">
        <v>10</v>
      </c>
      <c r="F64" s="30" t="s">
        <v>10</v>
      </c>
      <c r="G64" s="30" t="s">
        <v>10</v>
      </c>
      <c r="J64" s="44">
        <f>F60</f>
        <v>0.1</v>
      </c>
      <c r="K64" s="37" t="str">
        <f>IFERROR(IF(AND(_xlfn.ISFORMULA(F62),F62=C62*F60),"✅","❌"),"❌")</f>
        <v>❌</v>
      </c>
    </row>
    <row r="65" spans="1:11" ht="27.75" customHeight="1" x14ac:dyDescent="0.3">
      <c r="B65" s="9" t="s">
        <v>70</v>
      </c>
      <c r="C65" s="19">
        <v>3800</v>
      </c>
      <c r="D65" s="30" t="s">
        <v>10</v>
      </c>
      <c r="E65" s="30" t="s">
        <v>10</v>
      </c>
      <c r="F65" s="30" t="s">
        <v>10</v>
      </c>
      <c r="G65" s="30" t="s">
        <v>10</v>
      </c>
      <c r="J65" s="44">
        <f>G60</f>
        <v>0.15</v>
      </c>
      <c r="K65" s="37" t="str">
        <f>IFERROR(IF(AND(_xlfn.ISFORMULA(G62),G62=C62*G60),"✅","❌"),"❌")</f>
        <v>❌</v>
      </c>
    </row>
    <row r="66" spans="1:11" ht="27.75" customHeight="1" x14ac:dyDescent="0.3">
      <c r="B66" s="5" t="s">
        <v>71</v>
      </c>
      <c r="C66" s="18">
        <v>5000</v>
      </c>
      <c r="D66" s="30" t="s">
        <v>10</v>
      </c>
      <c r="E66" s="30" t="s">
        <v>10</v>
      </c>
      <c r="F66" s="30" t="s">
        <v>10</v>
      </c>
      <c r="G66" s="30" t="s">
        <v>10</v>
      </c>
      <c r="J66" s="43" t="str">
        <f>$B$68</f>
        <v>TOTAL PRIMES PAR TRIMESTRE</v>
      </c>
      <c r="K66" s="37" t="str">
        <f>IFERROR(IF(AND(_xlfn.ISFORMULA(D68),D68=SUM(D62:D67)),"✅","❌"),"❌")</f>
        <v>❌</v>
      </c>
    </row>
    <row r="67" spans="1:11" ht="27.75" customHeight="1" x14ac:dyDescent="0.3">
      <c r="B67" s="9" t="s">
        <v>72</v>
      </c>
      <c r="C67" s="19">
        <v>5500</v>
      </c>
      <c r="D67" s="30" t="s">
        <v>10</v>
      </c>
      <c r="E67" s="30" t="s">
        <v>10</v>
      </c>
      <c r="F67" s="30" t="s">
        <v>10</v>
      </c>
      <c r="G67" s="30" t="s">
        <v>10</v>
      </c>
      <c r="J67" s="43" t="str">
        <f>$B$68</f>
        <v>TOTAL PRIMES PAR TRIMESTRE</v>
      </c>
      <c r="K67" s="37" t="str">
        <f>IFERROR(IF(AND(_xlfn.ISFORMULA(E68),E68=SUM(E62:E67)),"✅","❌"),"❌")</f>
        <v>❌</v>
      </c>
    </row>
    <row r="68" spans="1:11" ht="31.5" customHeight="1" x14ac:dyDescent="0.3">
      <c r="B68" s="104" t="s">
        <v>73</v>
      </c>
      <c r="C68" s="81"/>
      <c r="D68" s="31" t="s">
        <v>10</v>
      </c>
      <c r="E68" s="31" t="s">
        <v>10</v>
      </c>
      <c r="F68" s="31" t="s">
        <v>10</v>
      </c>
      <c r="G68" s="31" t="s">
        <v>10</v>
      </c>
      <c r="J68" s="43" t="str">
        <f>$B$68</f>
        <v>TOTAL PRIMES PAR TRIMESTRE</v>
      </c>
      <c r="K68" s="37" t="str">
        <f>IFERROR(IF(AND(_xlfn.ISFORMULA(F68),F68=SUM(F62:F67)),"✅","❌"),"❌")</f>
        <v>❌</v>
      </c>
    </row>
    <row r="69" spans="1:11" ht="31.8" customHeight="1" x14ac:dyDescent="0.3">
      <c r="A69" s="94" t="s">
        <v>74</v>
      </c>
      <c r="B69" s="81"/>
      <c r="C69" s="81"/>
      <c r="D69" s="81"/>
      <c r="E69" s="81"/>
      <c r="F69" s="81"/>
      <c r="G69" s="82"/>
      <c r="J69" s="43" t="str">
        <f>$B$68</f>
        <v>TOTAL PRIMES PAR TRIMESTRE</v>
      </c>
      <c r="K69" s="37" t="str">
        <f>IFERROR(IF(AND(_xlfn.ISFORMULA(G68),G68=SUM(G62:G67)),"✅","❌"),"❌")</f>
        <v>❌</v>
      </c>
    </row>
    <row r="70" spans="1:11" ht="45.75" customHeight="1" x14ac:dyDescent="0.3">
      <c r="A70" s="106" t="s">
        <v>75</v>
      </c>
      <c r="B70" s="81"/>
      <c r="C70" s="81"/>
      <c r="D70" s="81"/>
      <c r="E70" s="81"/>
      <c r="F70" s="81"/>
      <c r="G70" s="82"/>
    </row>
    <row r="71" spans="1:11" ht="30" customHeight="1" x14ac:dyDescent="0.3">
      <c r="A71" s="83" t="s">
        <v>76</v>
      </c>
      <c r="B71" s="81"/>
      <c r="C71" s="81"/>
      <c r="D71" s="81"/>
      <c r="E71" s="81"/>
      <c r="F71" s="81"/>
      <c r="G71" s="82"/>
    </row>
    <row r="72" spans="1:11" ht="9.75" customHeight="1" x14ac:dyDescent="0.3"/>
    <row r="73" spans="1:11" ht="36" customHeight="1" x14ac:dyDescent="0.3">
      <c r="B73" s="20" t="s">
        <v>77</v>
      </c>
      <c r="C73" s="21">
        <v>1.2</v>
      </c>
    </row>
    <row r="74" spans="1:11" ht="9.75" customHeight="1" x14ac:dyDescent="0.3"/>
    <row r="75" spans="1:11" ht="7.5" customHeight="1" x14ac:dyDescent="0.3"/>
    <row r="76" spans="1:11" ht="30" customHeight="1" x14ac:dyDescent="0.3">
      <c r="B76" s="22" t="s">
        <v>78</v>
      </c>
      <c r="C76" s="22" t="s">
        <v>79</v>
      </c>
      <c r="D76" s="22" t="s">
        <v>80</v>
      </c>
      <c r="E76" s="22" t="s">
        <v>81</v>
      </c>
      <c r="F76" s="22" t="s">
        <v>82</v>
      </c>
      <c r="G76" s="22" t="s">
        <v>83</v>
      </c>
      <c r="H76" s="39" t="s">
        <v>84</v>
      </c>
      <c r="J76" s="84" t="s">
        <v>85</v>
      </c>
      <c r="K76" s="85"/>
    </row>
    <row r="77" spans="1:11" ht="25.5" customHeight="1" x14ac:dyDescent="0.3">
      <c r="B77" s="2" t="s">
        <v>86</v>
      </c>
      <c r="C77" s="5">
        <v>150</v>
      </c>
      <c r="D77" s="5">
        <v>1</v>
      </c>
      <c r="E77" s="5">
        <v>24</v>
      </c>
      <c r="F77" s="32" t="s">
        <v>10</v>
      </c>
      <c r="G77" s="32" t="s">
        <v>10</v>
      </c>
      <c r="H77" s="32" t="s">
        <v>10</v>
      </c>
      <c r="J77" s="41" t="s">
        <v>15</v>
      </c>
      <c r="K77" s="36" t="s">
        <v>16</v>
      </c>
    </row>
    <row r="78" spans="1:11" ht="25.5" customHeight="1" x14ac:dyDescent="0.3">
      <c r="B78" s="6" t="s">
        <v>87</v>
      </c>
      <c r="C78" s="9">
        <v>1800</v>
      </c>
      <c r="D78" s="9">
        <v>2</v>
      </c>
      <c r="E78" s="9">
        <v>8</v>
      </c>
      <c r="F78" s="32" t="s">
        <v>10</v>
      </c>
      <c r="G78" s="32" t="s">
        <v>10</v>
      </c>
      <c r="H78" s="32" t="s">
        <v>10</v>
      </c>
      <c r="J78" s="43" t="str">
        <f>F76</f>
        <v>Conso. kWh/jour</v>
      </c>
      <c r="K78" s="37" t="str">
        <f>IF(AND(_xlfn.ISFORMULA(F77),F77=C77*D77*E77/1000),"✅","❌")</f>
        <v>❌</v>
      </c>
    </row>
    <row r="79" spans="1:11" ht="25.5" customHeight="1" x14ac:dyDescent="0.3">
      <c r="B79" s="2" t="s">
        <v>88</v>
      </c>
      <c r="C79" s="5">
        <v>120</v>
      </c>
      <c r="D79" s="5">
        <v>2</v>
      </c>
      <c r="E79" s="5">
        <v>6</v>
      </c>
      <c r="F79" s="32" t="s">
        <v>10</v>
      </c>
      <c r="G79" s="32" t="s">
        <v>10</v>
      </c>
      <c r="H79" s="32" t="s">
        <v>10</v>
      </c>
      <c r="J79" s="43" t="str">
        <f>G76</f>
        <v>Coût/jour (DH)</v>
      </c>
      <c r="K79" s="37" t="str">
        <f>IFERROR(IF(AND(_xlfn.ISFORMULA(G77),G77=F77*C73),"✅","❌"),"❌")</f>
        <v>❌</v>
      </c>
    </row>
    <row r="80" spans="1:11" ht="25.5" customHeight="1" x14ac:dyDescent="0.3">
      <c r="B80" s="6" t="s">
        <v>89</v>
      </c>
      <c r="C80" s="9">
        <v>2000</v>
      </c>
      <c r="D80" s="9">
        <v>1</v>
      </c>
      <c r="E80" s="9">
        <v>1</v>
      </c>
      <c r="F80" s="32" t="s">
        <v>10</v>
      </c>
      <c r="G80" s="32" t="s">
        <v>10</v>
      </c>
      <c r="H80" s="32" t="s">
        <v>10</v>
      </c>
      <c r="J80" s="43" t="str">
        <f>H76</f>
        <v>Coût/mois (DH)</v>
      </c>
      <c r="K80" s="37" t="str">
        <f>IFERROR(IF(AND(_xlfn.ISFORMULA(H77),H77=G77*30),"✅","❌"),"❌")</f>
        <v>❌</v>
      </c>
    </row>
    <row r="81" spans="1:13" ht="25.5" customHeight="1" x14ac:dyDescent="0.3">
      <c r="B81" s="2" t="s">
        <v>90</v>
      </c>
      <c r="C81" s="5">
        <v>1500</v>
      </c>
      <c r="D81" s="5">
        <v>1</v>
      </c>
      <c r="E81" s="5">
        <v>2</v>
      </c>
      <c r="F81" s="32" t="s">
        <v>10</v>
      </c>
      <c r="G81" s="32" t="s">
        <v>10</v>
      </c>
      <c r="H81" s="32" t="s">
        <v>10</v>
      </c>
      <c r="J81" s="43" t="str">
        <f>$B$87</f>
        <v>TOTAUX</v>
      </c>
      <c r="K81" s="37" t="str">
        <f>IFERROR(IF(AND(_xlfn.ISFORMULA(F87),F87=SUM(F77:F84)),"✅","❌"),"❌")</f>
        <v>❌</v>
      </c>
    </row>
    <row r="82" spans="1:13" ht="25.5" customHeight="1" x14ac:dyDescent="0.3">
      <c r="B82" s="6" t="s">
        <v>91</v>
      </c>
      <c r="C82" s="9">
        <v>20</v>
      </c>
      <c r="D82" s="9">
        <v>10</v>
      </c>
      <c r="E82" s="9">
        <v>8</v>
      </c>
      <c r="F82" s="32" t="s">
        <v>10</v>
      </c>
      <c r="G82" s="32" t="s">
        <v>10</v>
      </c>
      <c r="H82" s="32" t="s">
        <v>10</v>
      </c>
      <c r="J82" s="43" t="str">
        <f>$B$87</f>
        <v>TOTAUX</v>
      </c>
      <c r="K82" s="37" t="str">
        <f>IFERROR(IF(AND(_xlfn.ISFORMULA(G87),G87=SUM(G77:G84)),"✅","❌"),"❌")</f>
        <v>❌</v>
      </c>
    </row>
    <row r="83" spans="1:13" ht="25.5" customHeight="1" x14ac:dyDescent="0.3">
      <c r="B83" s="2" t="s">
        <v>92</v>
      </c>
      <c r="C83" s="5">
        <v>200</v>
      </c>
      <c r="D83" s="5">
        <v>2</v>
      </c>
      <c r="E83" s="5">
        <v>5</v>
      </c>
      <c r="F83" s="32" t="s">
        <v>10</v>
      </c>
      <c r="G83" s="32" t="s">
        <v>10</v>
      </c>
      <c r="H83" s="32" t="s">
        <v>10</v>
      </c>
      <c r="J83" s="43" t="str">
        <f>$B$87</f>
        <v>TOTAUX</v>
      </c>
      <c r="K83" s="37" t="str">
        <f>IFERROR(IF(AND(_xlfn.ISFORMULA(H87),H87=SUM(H77:H84)),"✅","❌"),"❌")</f>
        <v>❌</v>
      </c>
    </row>
    <row r="84" spans="1:13" ht="25.5" customHeight="1" x14ac:dyDescent="0.3">
      <c r="B84" s="6" t="s">
        <v>93</v>
      </c>
      <c r="C84" s="9">
        <v>900</v>
      </c>
      <c r="D84" s="9">
        <v>1</v>
      </c>
      <c r="E84" s="9">
        <v>0.5</v>
      </c>
      <c r="F84" s="32" t="s">
        <v>10</v>
      </c>
      <c r="G84" s="32" t="s">
        <v>10</v>
      </c>
      <c r="H84" s="32" t="s">
        <v>10</v>
      </c>
      <c r="J84" s="43" t="str">
        <f>B90</f>
        <v>Appareil le plus coûteux (MAX) →</v>
      </c>
      <c r="K84" s="37" t="str">
        <f>IFERROR(IF(AND(_xlfn.ISFORMULA(F90),F90=MAX(H77:H84)),"✅","❌"),"❌")</f>
        <v>❌</v>
      </c>
    </row>
    <row r="85" spans="1:13" ht="25.8" customHeight="1" x14ac:dyDescent="0.3">
      <c r="J85" s="43" t="str">
        <f>B91</f>
        <v>Appareil le moins coûteux (MIN) →</v>
      </c>
      <c r="K85" s="37" t="str">
        <f>IFERROR(IF(AND(_xlfn.ISFORMULA(F91),F91=MIN(H77:H84)),"✅","❌"),"❌")</f>
        <v>❌</v>
      </c>
    </row>
    <row r="86" spans="1:13" ht="9.75" customHeight="1" x14ac:dyDescent="0.3"/>
    <row r="87" spans="1:13" ht="33.75" customHeight="1" x14ac:dyDescent="0.3">
      <c r="B87" s="108" t="s">
        <v>94</v>
      </c>
      <c r="C87" s="81"/>
      <c r="D87" s="81"/>
      <c r="E87" s="81"/>
      <c r="F87" s="33" t="s">
        <v>10</v>
      </c>
      <c r="G87" s="33" t="s">
        <v>10</v>
      </c>
      <c r="H87" s="33" t="s">
        <v>10</v>
      </c>
    </row>
    <row r="88" spans="1:13" ht="7.5" customHeight="1" x14ac:dyDescent="0.35">
      <c r="F88" s="34"/>
      <c r="G88" s="34"/>
      <c r="H88" s="34"/>
    </row>
    <row r="89" spans="1:13" ht="7.5" customHeight="1" x14ac:dyDescent="0.35">
      <c r="F89" s="34"/>
      <c r="G89" s="34"/>
      <c r="H89" s="34"/>
    </row>
    <row r="90" spans="1:13" ht="30" customHeight="1" x14ac:dyDescent="0.35">
      <c r="B90" s="99" t="s">
        <v>95</v>
      </c>
      <c r="C90" s="81"/>
      <c r="D90" s="81"/>
      <c r="E90" s="81"/>
      <c r="F90" s="35" t="s">
        <v>10</v>
      </c>
      <c r="G90" s="34"/>
      <c r="H90" s="34"/>
      <c r="I90" s="34"/>
    </row>
    <row r="91" spans="1:13" ht="30" customHeight="1" x14ac:dyDescent="0.35">
      <c r="B91" s="99" t="s">
        <v>96</v>
      </c>
      <c r="C91" s="81"/>
      <c r="D91" s="81"/>
      <c r="E91" s="81"/>
      <c r="F91" s="35" t="s">
        <v>10</v>
      </c>
      <c r="G91" s="34"/>
      <c r="H91" s="34"/>
      <c r="I91" s="34"/>
    </row>
    <row r="92" spans="1:13" ht="30" customHeight="1" x14ac:dyDescent="0.3"/>
    <row r="94" spans="1:13" ht="43.5" customHeight="1" x14ac:dyDescent="0.3">
      <c r="A94" s="97" t="s">
        <v>97</v>
      </c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</row>
    <row r="95" spans="1:13" ht="45" customHeight="1" x14ac:dyDescent="0.3">
      <c r="A95" s="95" t="s">
        <v>98</v>
      </c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</row>
    <row r="96" spans="1:13" ht="33.75" customHeight="1" x14ac:dyDescent="0.3">
      <c r="B96" s="23" t="s">
        <v>99</v>
      </c>
      <c r="C96" s="24">
        <v>1</v>
      </c>
      <c r="D96" s="24">
        <v>2</v>
      </c>
      <c r="E96" s="24">
        <v>3</v>
      </c>
      <c r="F96" s="24">
        <v>4</v>
      </c>
      <c r="G96" s="24">
        <v>5</v>
      </c>
      <c r="H96" s="24">
        <v>6</v>
      </c>
      <c r="I96" s="24">
        <v>7</v>
      </c>
      <c r="J96" s="45">
        <v>8</v>
      </c>
      <c r="K96" s="24">
        <v>9</v>
      </c>
    </row>
    <row r="97" spans="2:11" ht="27.75" customHeight="1" x14ac:dyDescent="0.3">
      <c r="B97" s="24">
        <v>1</v>
      </c>
      <c r="C97" s="25" t="s">
        <v>10</v>
      </c>
      <c r="D97" s="25" t="s">
        <v>10</v>
      </c>
      <c r="E97" s="25" t="s">
        <v>10</v>
      </c>
      <c r="F97" s="25" t="s">
        <v>10</v>
      </c>
      <c r="G97" s="25" t="s">
        <v>10</v>
      </c>
      <c r="H97" s="25" t="s">
        <v>10</v>
      </c>
      <c r="I97" s="25" t="s">
        <v>10</v>
      </c>
      <c r="J97" s="25" t="s">
        <v>10</v>
      </c>
      <c r="K97" s="25" t="s">
        <v>10</v>
      </c>
    </row>
    <row r="98" spans="2:11" ht="27.75" customHeight="1" x14ac:dyDescent="0.3">
      <c r="B98" s="24">
        <v>2</v>
      </c>
      <c r="C98" s="25" t="s">
        <v>10</v>
      </c>
      <c r="D98" s="25" t="s">
        <v>10</v>
      </c>
      <c r="E98" s="25" t="s">
        <v>10</v>
      </c>
      <c r="F98" s="25" t="s">
        <v>10</v>
      </c>
      <c r="G98" s="25" t="s">
        <v>10</v>
      </c>
      <c r="H98" s="25" t="s">
        <v>10</v>
      </c>
      <c r="I98" s="25" t="s">
        <v>10</v>
      </c>
      <c r="J98" s="25" t="s">
        <v>10</v>
      </c>
      <c r="K98" s="25" t="s">
        <v>10</v>
      </c>
    </row>
    <row r="99" spans="2:11" ht="27.75" customHeight="1" x14ac:dyDescent="0.3">
      <c r="B99" s="24">
        <v>3</v>
      </c>
      <c r="C99" s="25" t="s">
        <v>10</v>
      </c>
      <c r="D99" s="25" t="s">
        <v>10</v>
      </c>
      <c r="E99" s="25" t="s">
        <v>10</v>
      </c>
      <c r="F99" s="25" t="s">
        <v>10</v>
      </c>
      <c r="G99" s="25" t="s">
        <v>10</v>
      </c>
      <c r="H99" s="25" t="s">
        <v>10</v>
      </c>
      <c r="I99" s="25" t="s">
        <v>10</v>
      </c>
      <c r="J99" s="25" t="s">
        <v>10</v>
      </c>
      <c r="K99" s="25" t="s">
        <v>10</v>
      </c>
    </row>
    <row r="100" spans="2:11" ht="27.75" customHeight="1" x14ac:dyDescent="0.3">
      <c r="B100" s="24">
        <v>4</v>
      </c>
      <c r="C100" s="25" t="s">
        <v>10</v>
      </c>
      <c r="D100" s="25" t="s">
        <v>10</v>
      </c>
      <c r="E100" s="25" t="s">
        <v>10</v>
      </c>
      <c r="F100" s="25" t="s">
        <v>10</v>
      </c>
      <c r="G100" s="25" t="s">
        <v>10</v>
      </c>
      <c r="H100" s="25" t="s">
        <v>10</v>
      </c>
      <c r="I100" s="25" t="s">
        <v>10</v>
      </c>
      <c r="J100" s="25" t="s">
        <v>10</v>
      </c>
      <c r="K100" s="25" t="s">
        <v>10</v>
      </c>
    </row>
    <row r="101" spans="2:11" ht="27.75" customHeight="1" x14ac:dyDescent="0.3">
      <c r="B101" s="24">
        <v>5</v>
      </c>
      <c r="C101" s="25" t="s">
        <v>10</v>
      </c>
      <c r="D101" s="25" t="s">
        <v>10</v>
      </c>
      <c r="E101" s="25" t="s">
        <v>10</v>
      </c>
      <c r="F101" s="25" t="s">
        <v>10</v>
      </c>
      <c r="G101" s="25" t="s">
        <v>10</v>
      </c>
      <c r="H101" s="25" t="s">
        <v>10</v>
      </c>
      <c r="I101" s="25" t="s">
        <v>10</v>
      </c>
      <c r="J101" s="25" t="s">
        <v>10</v>
      </c>
      <c r="K101" s="25" t="s">
        <v>10</v>
      </c>
    </row>
    <row r="102" spans="2:11" ht="27.75" customHeight="1" x14ac:dyDescent="0.3">
      <c r="B102" s="24">
        <v>6</v>
      </c>
      <c r="C102" s="25" t="s">
        <v>10</v>
      </c>
      <c r="D102" s="25" t="s">
        <v>10</v>
      </c>
      <c r="E102" s="25" t="s">
        <v>10</v>
      </c>
      <c r="F102" s="25" t="s">
        <v>10</v>
      </c>
      <c r="G102" s="25" t="s">
        <v>10</v>
      </c>
      <c r="H102" s="25" t="s">
        <v>10</v>
      </c>
      <c r="I102" s="25" t="s">
        <v>10</v>
      </c>
      <c r="J102" s="25" t="s">
        <v>10</v>
      </c>
      <c r="K102" s="25" t="s">
        <v>10</v>
      </c>
    </row>
    <row r="103" spans="2:11" ht="27.75" customHeight="1" x14ac:dyDescent="0.3">
      <c r="B103" s="24">
        <v>7</v>
      </c>
      <c r="C103" s="25" t="s">
        <v>10</v>
      </c>
      <c r="D103" s="25" t="s">
        <v>10</v>
      </c>
      <c r="E103" s="25" t="s">
        <v>10</v>
      </c>
      <c r="F103" s="25" t="s">
        <v>10</v>
      </c>
      <c r="G103" s="25" t="s">
        <v>10</v>
      </c>
      <c r="H103" s="25" t="s">
        <v>10</v>
      </c>
      <c r="I103" s="25" t="s">
        <v>10</v>
      </c>
      <c r="J103" s="25" t="s">
        <v>10</v>
      </c>
      <c r="K103" s="25" t="s">
        <v>10</v>
      </c>
    </row>
    <row r="104" spans="2:11" ht="27.75" customHeight="1" x14ac:dyDescent="0.3">
      <c r="B104" s="24">
        <v>8</v>
      </c>
      <c r="C104" s="25" t="s">
        <v>10</v>
      </c>
      <c r="D104" s="25" t="s">
        <v>10</v>
      </c>
      <c r="E104" s="25" t="s">
        <v>10</v>
      </c>
      <c r="F104" s="25" t="s">
        <v>10</v>
      </c>
      <c r="G104" s="25" t="s">
        <v>10</v>
      </c>
      <c r="H104" s="25" t="s">
        <v>10</v>
      </c>
      <c r="I104" s="25" t="s">
        <v>10</v>
      </c>
      <c r="J104" s="25" t="s">
        <v>10</v>
      </c>
      <c r="K104" s="25" t="s">
        <v>10</v>
      </c>
    </row>
    <row r="105" spans="2:11" ht="27.75" customHeight="1" x14ac:dyDescent="0.3">
      <c r="B105" s="24">
        <v>9</v>
      </c>
      <c r="C105" s="25" t="s">
        <v>10</v>
      </c>
      <c r="D105" s="25" t="s">
        <v>10</v>
      </c>
      <c r="E105" s="25" t="s">
        <v>10</v>
      </c>
      <c r="F105" s="25" t="s">
        <v>10</v>
      </c>
      <c r="G105" s="25" t="s">
        <v>10</v>
      </c>
      <c r="H105" s="25" t="s">
        <v>10</v>
      </c>
      <c r="I105" s="25" t="s">
        <v>10</v>
      </c>
      <c r="J105" s="25" t="s">
        <v>10</v>
      </c>
      <c r="K105" s="25" t="s">
        <v>10</v>
      </c>
    </row>
    <row r="110" spans="2:11" ht="15.6" customHeight="1" x14ac:dyDescent="0.3">
      <c r="D110" s="84" t="s">
        <v>100</v>
      </c>
      <c r="E110" s="85"/>
    </row>
    <row r="111" spans="2:11" ht="28.8" customHeight="1" x14ac:dyDescent="0.3">
      <c r="D111" s="41" t="s">
        <v>15</v>
      </c>
      <c r="E111" s="36" t="s">
        <v>16</v>
      </c>
    </row>
    <row r="112" spans="2:11" ht="15.6" customHeight="1" x14ac:dyDescent="0.3">
      <c r="C112" s="46"/>
      <c r="D112" s="48">
        <v>1</v>
      </c>
      <c r="E112" s="47" t="str">
        <f t="shared" ref="E112:E120" si="0">IF(AND(_xlfn.ISFORMULA(C97),C97=$B97*C$96),"✅","❌")</f>
        <v>❌</v>
      </c>
    </row>
    <row r="113" spans="1:8" ht="15.6" customHeight="1" x14ac:dyDescent="0.3">
      <c r="C113" s="46"/>
      <c r="D113" s="49">
        <v>2</v>
      </c>
      <c r="E113" s="47" t="str">
        <f t="shared" si="0"/>
        <v>❌</v>
      </c>
    </row>
    <row r="114" spans="1:8" ht="15.6" customHeight="1" x14ac:dyDescent="0.3">
      <c r="C114" s="46"/>
      <c r="D114" s="48">
        <v>3</v>
      </c>
      <c r="E114" s="47" t="str">
        <f t="shared" si="0"/>
        <v>❌</v>
      </c>
    </row>
    <row r="115" spans="1:8" ht="15.6" customHeight="1" x14ac:dyDescent="0.3">
      <c r="C115" s="46"/>
      <c r="D115" s="49">
        <v>4</v>
      </c>
      <c r="E115" s="47" t="str">
        <f t="shared" si="0"/>
        <v>❌</v>
      </c>
    </row>
    <row r="116" spans="1:8" ht="15.6" customHeight="1" x14ac:dyDescent="0.3">
      <c r="C116" s="46"/>
      <c r="D116" s="48">
        <v>5</v>
      </c>
      <c r="E116" s="47" t="str">
        <f t="shared" si="0"/>
        <v>❌</v>
      </c>
    </row>
    <row r="117" spans="1:8" ht="15.6" customHeight="1" x14ac:dyDescent="0.3">
      <c r="C117" s="46"/>
      <c r="D117" s="49">
        <v>6</v>
      </c>
      <c r="E117" s="47" t="str">
        <f t="shared" si="0"/>
        <v>❌</v>
      </c>
    </row>
    <row r="118" spans="1:8" ht="15.6" customHeight="1" x14ac:dyDescent="0.3">
      <c r="C118" s="46"/>
      <c r="D118" s="50">
        <v>7</v>
      </c>
      <c r="E118" s="47" t="str">
        <f t="shared" si="0"/>
        <v>❌</v>
      </c>
    </row>
    <row r="119" spans="1:8" ht="15.6" customHeight="1" x14ac:dyDescent="0.3">
      <c r="C119" s="46"/>
      <c r="D119" s="51">
        <v>8</v>
      </c>
      <c r="E119" s="47" t="str">
        <f t="shared" si="0"/>
        <v>❌</v>
      </c>
    </row>
    <row r="120" spans="1:8" ht="15.6" customHeight="1" x14ac:dyDescent="0.3">
      <c r="C120" s="46"/>
      <c r="D120" s="52">
        <v>9</v>
      </c>
      <c r="E120" s="47" t="str">
        <f t="shared" si="0"/>
        <v>❌</v>
      </c>
    </row>
    <row r="123" spans="1:8" ht="30" customHeight="1" x14ac:dyDescent="0.3">
      <c r="A123" s="100" t="s">
        <v>101</v>
      </c>
      <c r="B123" s="79"/>
      <c r="C123" s="79"/>
      <c r="D123" s="79"/>
      <c r="E123" s="79"/>
      <c r="F123" s="79"/>
      <c r="G123" s="79"/>
      <c r="H123" s="79"/>
    </row>
    <row r="124" spans="1:8" ht="29.4" customHeight="1" x14ac:dyDescent="0.3">
      <c r="A124" s="69" t="s">
        <v>137</v>
      </c>
      <c r="B124" s="70">
        <f ca="1">TODAY()</f>
        <v>46078</v>
      </c>
      <c r="C124" s="69" t="s">
        <v>138</v>
      </c>
      <c r="D124" s="73" t="str">
        <f>C1</f>
        <v>…................................…......+..........................................</v>
      </c>
      <c r="E124" s="74"/>
      <c r="F124" s="75"/>
      <c r="G124" s="70" t="s">
        <v>139</v>
      </c>
      <c r="H124" s="71" t="str">
        <f>G1</f>
        <v>2/5</v>
      </c>
    </row>
    <row r="126" spans="1:8" ht="25.05" customHeight="1" x14ac:dyDescent="0.3">
      <c r="B126" s="53" t="s">
        <v>102</v>
      </c>
      <c r="C126" s="53" t="s">
        <v>103</v>
      </c>
      <c r="D126" s="53" t="s">
        <v>104</v>
      </c>
      <c r="E126" s="53" t="s">
        <v>105</v>
      </c>
      <c r="F126" s="53" t="s">
        <v>106</v>
      </c>
      <c r="G126" s="53" t="s">
        <v>107</v>
      </c>
    </row>
    <row r="127" spans="1:8" ht="18" x14ac:dyDescent="0.3">
      <c r="B127" s="61" t="s">
        <v>108</v>
      </c>
      <c r="C127" s="54" t="s">
        <v>109</v>
      </c>
      <c r="D127" s="54">
        <v>2</v>
      </c>
      <c r="E127" s="54">
        <f>COUNTIF(K12:K13,"✅")</f>
        <v>0</v>
      </c>
      <c r="F127" s="55">
        <f>E127/D127</f>
        <v>0</v>
      </c>
      <c r="G127" s="56">
        <f>F127*D127</f>
        <v>0</v>
      </c>
    </row>
    <row r="128" spans="1:8" ht="18" x14ac:dyDescent="0.3">
      <c r="B128" s="61" t="s">
        <v>110</v>
      </c>
      <c r="C128" s="54" t="s">
        <v>111</v>
      </c>
      <c r="D128" s="54">
        <v>4</v>
      </c>
      <c r="E128" s="54">
        <f>COUNTIF(K29:K32,"✅")</f>
        <v>0</v>
      </c>
      <c r="F128" s="55">
        <f t="shared" ref="F128:F132" si="1">E128/D128</f>
        <v>0</v>
      </c>
      <c r="G128" s="56">
        <f t="shared" ref="G128:G132" si="2">F128*D128</f>
        <v>0</v>
      </c>
    </row>
    <row r="129" spans="1:8" ht="18" x14ac:dyDescent="0.3">
      <c r="B129" s="61" t="s">
        <v>112</v>
      </c>
      <c r="C129" s="54" t="s">
        <v>111</v>
      </c>
      <c r="D129" s="54">
        <v>5</v>
      </c>
      <c r="E129" s="54">
        <f>COUNTIF(K47:K51,"✅")</f>
        <v>0</v>
      </c>
      <c r="F129" s="55">
        <f t="shared" si="1"/>
        <v>0</v>
      </c>
      <c r="G129" s="56">
        <f t="shared" si="2"/>
        <v>0</v>
      </c>
    </row>
    <row r="130" spans="1:8" ht="18" x14ac:dyDescent="0.3">
      <c r="B130" s="61" t="s">
        <v>113</v>
      </c>
      <c r="C130" s="54" t="s">
        <v>114</v>
      </c>
      <c r="D130" s="54">
        <v>8</v>
      </c>
      <c r="E130" s="54">
        <f>COUNTIF(K62:K69,"✅")</f>
        <v>0</v>
      </c>
      <c r="F130" s="55">
        <f t="shared" si="1"/>
        <v>0</v>
      </c>
      <c r="G130" s="56">
        <f t="shared" si="2"/>
        <v>0</v>
      </c>
    </row>
    <row r="131" spans="1:8" ht="18" x14ac:dyDescent="0.3">
      <c r="B131" s="61" t="s">
        <v>115</v>
      </c>
      <c r="C131" s="54" t="s">
        <v>111</v>
      </c>
      <c r="D131" s="54">
        <v>8</v>
      </c>
      <c r="E131" s="54">
        <f>COUNTIF(K78:K85,"✅")</f>
        <v>0</v>
      </c>
      <c r="F131" s="55">
        <f>E131/D131</f>
        <v>0</v>
      </c>
      <c r="G131" s="56">
        <f t="shared" si="2"/>
        <v>0</v>
      </c>
    </row>
    <row r="132" spans="1:8" ht="18" x14ac:dyDescent="0.3">
      <c r="B132" s="61" t="s">
        <v>116</v>
      </c>
      <c r="C132" s="54" t="s">
        <v>114</v>
      </c>
      <c r="D132" s="54">
        <v>9</v>
      </c>
      <c r="E132" s="54">
        <f>COUNTIF(E112:E120,"✅")</f>
        <v>0</v>
      </c>
      <c r="F132" s="55">
        <f t="shared" si="1"/>
        <v>0</v>
      </c>
      <c r="G132" s="56">
        <f t="shared" si="2"/>
        <v>0</v>
      </c>
    </row>
    <row r="133" spans="1:8" ht="9.6" customHeight="1" x14ac:dyDescent="0.3"/>
    <row r="134" spans="1:8" ht="23.4" x14ac:dyDescent="0.3">
      <c r="F134" s="76" t="s">
        <v>117</v>
      </c>
      <c r="G134" s="77"/>
    </row>
    <row r="135" spans="1:8" ht="23.4" x14ac:dyDescent="0.45">
      <c r="F135" s="57">
        <f>SUMPRODUCT(F127:F132,D127:D132)/SUM(D127:D132)</f>
        <v>0</v>
      </c>
      <c r="G135" s="58">
        <f>SUM(G127:G132)/SUM(D127:D132)*20</f>
        <v>0</v>
      </c>
    </row>
    <row r="136" spans="1:8" ht="23.4" x14ac:dyDescent="0.45">
      <c r="E136" s="59"/>
      <c r="F136" s="60"/>
    </row>
    <row r="137" spans="1:8" ht="15.6" hidden="1" x14ac:dyDescent="0.3">
      <c r="A137" s="98" t="s">
        <v>118</v>
      </c>
      <c r="B137" s="79"/>
      <c r="C137" s="79"/>
      <c r="D137" s="79"/>
      <c r="E137" s="79"/>
      <c r="F137" s="79"/>
      <c r="G137" s="79"/>
      <c r="H137" s="79"/>
    </row>
    <row r="138" spans="1:8" hidden="1" x14ac:dyDescent="0.3">
      <c r="C138" s="64" t="s">
        <v>119</v>
      </c>
    </row>
    <row r="139" spans="1:8" hidden="1" x14ac:dyDescent="0.3">
      <c r="C139" s="64" t="s">
        <v>120</v>
      </c>
    </row>
    <row r="140" spans="1:8" hidden="1" x14ac:dyDescent="0.3">
      <c r="C140" s="64" t="s">
        <v>121</v>
      </c>
    </row>
    <row r="141" spans="1:8" hidden="1" x14ac:dyDescent="0.3">
      <c r="C141" s="64" t="s">
        <v>122</v>
      </c>
    </row>
    <row r="142" spans="1:8" hidden="1" x14ac:dyDescent="0.3">
      <c r="C142" s="64" t="s">
        <v>123</v>
      </c>
    </row>
    <row r="143" spans="1:8" hidden="1" x14ac:dyDescent="0.3">
      <c r="C143" s="64" t="s">
        <v>124</v>
      </c>
    </row>
    <row r="144" spans="1:8" hidden="1" x14ac:dyDescent="0.3">
      <c r="C144" s="64" t="s">
        <v>125</v>
      </c>
    </row>
    <row r="145" spans="1:8" hidden="1" x14ac:dyDescent="0.3">
      <c r="C145" s="64" t="s">
        <v>126</v>
      </c>
    </row>
    <row r="146" spans="1:8" hidden="1" x14ac:dyDescent="0.3">
      <c r="C146" s="64" t="s">
        <v>127</v>
      </c>
    </row>
    <row r="147" spans="1:8" hidden="1" x14ac:dyDescent="0.3">
      <c r="C147" s="64"/>
    </row>
    <row r="148" spans="1:8" hidden="1" x14ac:dyDescent="0.3">
      <c r="C148" s="64"/>
    </row>
    <row r="149" spans="1:8" hidden="1" x14ac:dyDescent="0.3">
      <c r="C149" s="64"/>
    </row>
    <row r="150" spans="1:8" hidden="1" x14ac:dyDescent="0.3">
      <c r="C150" s="64"/>
    </row>
    <row r="151" spans="1:8" hidden="1" x14ac:dyDescent="0.3"/>
    <row r="152" spans="1:8" ht="15.6" x14ac:dyDescent="0.3">
      <c r="A152" s="101" t="s">
        <v>136</v>
      </c>
      <c r="B152" s="79"/>
      <c r="C152" s="79"/>
      <c r="D152" s="79"/>
      <c r="E152" s="79"/>
      <c r="F152" s="79"/>
      <c r="G152" s="79"/>
      <c r="H152" s="79"/>
    </row>
    <row r="153" spans="1:8" ht="19.95" customHeight="1" x14ac:dyDescent="0.3">
      <c r="A153" s="93"/>
      <c r="B153" s="79"/>
      <c r="C153" s="79"/>
      <c r="D153" s="79"/>
      <c r="E153" s="79"/>
      <c r="F153" s="79"/>
      <c r="G153" s="79"/>
      <c r="H153" s="79"/>
    </row>
    <row r="154" spans="1:8" ht="19.95" customHeight="1" x14ac:dyDescent="0.3">
      <c r="A154" s="79"/>
      <c r="B154" s="79"/>
      <c r="C154" s="79"/>
      <c r="D154" s="79"/>
      <c r="E154" s="79"/>
      <c r="F154" s="79"/>
      <c r="G154" s="79"/>
      <c r="H154" s="79"/>
    </row>
    <row r="155" spans="1:8" ht="19.95" customHeight="1" x14ac:dyDescent="0.3">
      <c r="A155" s="79"/>
      <c r="B155" s="79"/>
      <c r="C155" s="79"/>
      <c r="D155" s="79"/>
      <c r="E155" s="79"/>
      <c r="F155" s="79"/>
      <c r="G155" s="79"/>
      <c r="H155" s="79"/>
    </row>
    <row r="156" spans="1:8" ht="19.95" customHeight="1" x14ac:dyDescent="0.3">
      <c r="A156" s="79"/>
      <c r="B156" s="79"/>
      <c r="C156" s="79"/>
      <c r="D156" s="79"/>
      <c r="E156" s="79"/>
      <c r="F156" s="79"/>
      <c r="G156" s="79"/>
      <c r="H156" s="79"/>
    </row>
  </sheetData>
  <mergeCells count="36">
    <mergeCell ref="J60:K60"/>
    <mergeCell ref="J10:K10"/>
    <mergeCell ref="A153:H156"/>
    <mergeCell ref="D110:E110"/>
    <mergeCell ref="A69:G69"/>
    <mergeCell ref="A95:M95"/>
    <mergeCell ref="A41:G41"/>
    <mergeCell ref="A94:M94"/>
    <mergeCell ref="J76:K76"/>
    <mergeCell ref="A137:H137"/>
    <mergeCell ref="B90:E90"/>
    <mergeCell ref="A123:H123"/>
    <mergeCell ref="A152:H152"/>
    <mergeCell ref="A22:G22"/>
    <mergeCell ref="A40:G40"/>
    <mergeCell ref="B68:C68"/>
    <mergeCell ref="J27:K27"/>
    <mergeCell ref="A56:G56"/>
    <mergeCell ref="A39:G39"/>
    <mergeCell ref="J45:K45"/>
    <mergeCell ref="A20:G20"/>
    <mergeCell ref="A21:G21"/>
    <mergeCell ref="C1:E1"/>
    <mergeCell ref="D124:F124"/>
    <mergeCell ref="F134:G134"/>
    <mergeCell ref="A3:G3"/>
    <mergeCell ref="B54:E54"/>
    <mergeCell ref="A71:G71"/>
    <mergeCell ref="A58:G58"/>
    <mergeCell ref="A5:G5"/>
    <mergeCell ref="A57:G57"/>
    <mergeCell ref="A4:G4"/>
    <mergeCell ref="B17:E17"/>
    <mergeCell ref="A70:G70"/>
    <mergeCell ref="B91:E91"/>
    <mergeCell ref="B87:E87"/>
  </mergeCells>
  <phoneticPr fontId="43" type="noConversion"/>
  <dataValidations count="1">
    <dataValidation type="list" allowBlank="1" showInputMessage="1" showErrorMessage="1" sqref="G1" xr:uid="{8893F3B3-AF37-4574-A1AF-77D555B47EAF}">
      <formula1>$C$138:$C$146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abdellah.tahtoh</dc:creator>
  <cp:keywords>Tableur</cp:keywords>
  <cp:lastModifiedBy>ABDELLAH.TAHTOH</cp:lastModifiedBy>
  <cp:revision>0</cp:revision>
  <dcterms:created xsi:type="dcterms:W3CDTF">2026-02-24T22:40:09Z</dcterms:created>
  <dcterms:modified xsi:type="dcterms:W3CDTF">2026-02-25T16:30:25Z</dcterms:modified>
  <dc:language>en-US</dc:language>
</cp:coreProperties>
</file>