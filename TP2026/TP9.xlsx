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ahto\OneDrive\Documents\GitHub\u3\TP2026\"/>
    </mc:Choice>
  </mc:AlternateContent>
  <xr:revisionPtr revIDLastSave="0" documentId="13_ncr:1_{3F49ECA7-9A59-4FD1-8ED0-32655AAD9186}" xr6:coauthVersionLast="47" xr6:coauthVersionMax="47" xr10:uidLastSave="{00000000-0000-0000-0000-000000000000}"/>
  <bookViews>
    <workbookView xWindow="-108" yWindow="-108" windowWidth="23256" windowHeight="12456" xr2:uid="{81613824-27A1-410A-B2DF-370252333762}"/>
  </bookViews>
  <sheets>
    <sheet name="🌿 Coopérative Argan" sheetId="2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2" l="1"/>
  <c r="M31" i="2"/>
  <c r="M30" i="2"/>
  <c r="M29" i="2"/>
  <c r="M24" i="2"/>
  <c r="M25" i="2" l="1"/>
  <c r="M23" i="2"/>
  <c r="M27" i="2" l="1"/>
  <c r="M26" i="2"/>
  <c r="M3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Abdellah TAHTOH</author>
  </authors>
  <commentList>
    <comment ref="A2" authorId="0" shapeId="0" xr:uid="{80B75B95-B71C-426A-832B-6742BB61CE33}">
      <text>
        <r>
          <rPr>
            <b/>
            <sz val="9"/>
            <color indexed="81"/>
            <rFont val="Tahoma"/>
            <family val="2"/>
          </rPr>
          <t>الوضعية: تعمل في تعاونية لإنتاج زيت الأركان في جهة سوس ماسة. تحصل المنتجات على منحة إذا تجاوز إنتاجهن 10 لترات في الأسبوع.</t>
        </r>
      </text>
    </comment>
    <comment ref="A3" authorId="0" shapeId="0" xr:uid="{178AF00C-2A33-4BF5-A49A-FEBD6761A4DE}">
      <text>
        <r>
          <rPr>
            <b/>
            <sz val="9"/>
            <color indexed="81"/>
            <rFont val="Tahoma"/>
            <family val="2"/>
          </rPr>
          <t>📌 قاعدة SI: 
إذا كان الإنتاج =&lt; 10 لترات 
 منحة قدرها 50 درهم 
 وإلا  لا منحة</t>
        </r>
      </text>
    </comment>
    <comment ref="B5" authorId="0" shapeId="0" xr:uid="{4C30C938-704C-4006-82F1-C656CA9B33BF}">
      <text>
        <r>
          <rPr>
            <b/>
            <sz val="9"/>
            <color indexed="81"/>
            <rFont val="Tahoma"/>
            <family val="2"/>
          </rPr>
          <t>المنتجة</t>
        </r>
      </text>
    </comment>
    <comment ref="C5" authorId="0" shapeId="0" xr:uid="{21763D80-4842-4235-A438-9A2A9EC7D2B6}">
      <text>
        <r>
          <rPr>
            <b/>
            <sz val="9"/>
            <color indexed="81"/>
            <rFont val="Tahoma"/>
            <family val="2"/>
          </rPr>
          <t>القرية</t>
        </r>
      </text>
    </comment>
    <comment ref="D5" authorId="0" shapeId="0" xr:uid="{616B2A91-307A-44B6-BFCF-2E00D8019CE3}">
      <text>
        <r>
          <rPr>
            <b/>
            <sz val="9"/>
            <color indexed="81"/>
            <rFont val="Tahoma"/>
            <family val="2"/>
          </rPr>
          <t>الإنتاج في الاسبوع</t>
        </r>
      </text>
    </comment>
    <comment ref="E5" authorId="0" shapeId="0" xr:uid="{11B4639F-B2A7-4BE6-A869-CC8CA698578C}">
      <text>
        <r>
          <rPr>
            <b/>
            <sz val="9"/>
            <color indexed="81"/>
            <rFont val="Tahoma"/>
            <family val="2"/>
          </rPr>
          <t>ثمن اللتر الواحد بالدرهم</t>
        </r>
      </text>
    </comment>
    <comment ref="F5" authorId="0" shapeId="0" xr:uid="{0E545F35-B75D-470D-AA30-C86374277BA5}">
      <text>
        <r>
          <rPr>
            <b/>
            <sz val="9"/>
            <color indexed="81"/>
            <rFont val="Tahoma"/>
            <family val="2"/>
          </rPr>
          <t>الدخل الأساسي (درهم)</t>
        </r>
      </text>
    </comment>
    <comment ref="G5" authorId="0" shapeId="0" xr:uid="{143F4DFC-0549-4469-8B84-F283AAB709DE}">
      <text>
        <r>
          <rPr>
            <b/>
            <sz val="9"/>
            <color indexed="81"/>
            <rFont val="Tahoma"/>
            <family val="2"/>
          </rPr>
          <t>العلاوة</t>
        </r>
      </text>
    </comment>
    <comment ref="H5" authorId="0" shapeId="0" xr:uid="{5715D6C7-2331-4B18-83A5-D676C4FD8378}">
      <text>
        <r>
          <rPr>
            <b/>
            <sz val="9"/>
            <color indexed="81"/>
            <rFont val="Tahoma"/>
            <family val="2"/>
          </rPr>
          <t>إجمالي الدخل (درهم)</t>
        </r>
      </text>
    </comment>
    <comment ref="I5" authorId="0" shapeId="0" xr:uid="{67B2DEB7-CE3E-4C90-BEA6-EE6AF2E40EA4}">
      <text>
        <r>
          <rPr>
            <b/>
            <sz val="9"/>
            <color indexed="81"/>
            <rFont val="Tahoma"/>
          </rPr>
          <t xml:space="preserve">النسبة المؤوية
</t>
        </r>
      </text>
    </comment>
    <comment ref="A17" authorId="0" shapeId="0" xr:uid="{78117FDA-EA81-4980-A3B4-64A084F3F9E6}">
      <text>
        <r>
          <rPr>
            <b/>
            <sz val="9"/>
            <color indexed="81"/>
            <rFont val="Tahoma"/>
            <family val="2"/>
          </rPr>
          <t>إجمالي الدخل الموزع (درهم)</t>
        </r>
      </text>
    </comment>
    <comment ref="A18" authorId="0" shapeId="0" xr:uid="{1CDF085B-3C68-4A91-9F9B-5D2CAF338774}">
      <text>
        <r>
          <rPr>
            <b/>
            <sz val="9"/>
            <color indexed="81"/>
            <rFont val="Tahoma"/>
            <family val="2"/>
          </rPr>
          <t>الإنتاج الكلي (لتر)</t>
        </r>
      </text>
    </comment>
    <comment ref="A19" authorId="0" shapeId="0" xr:uid="{208D4BEA-6FBE-416A-B8C8-46E771CD8B42}">
      <text>
        <r>
          <rPr>
            <b/>
            <sz val="9"/>
            <color indexed="81"/>
            <rFont val="Tahoma"/>
            <family val="2"/>
          </rPr>
          <t>أقصى إنتاج</t>
        </r>
      </text>
    </comment>
    <comment ref="A20" authorId="0" shapeId="0" xr:uid="{04CC37AE-F388-4FD9-8CE1-1C29568502BA}">
      <text>
        <r>
          <rPr>
            <b/>
            <sz val="9"/>
            <color indexed="81"/>
            <rFont val="Tahoma"/>
            <family val="2"/>
          </rPr>
          <t>أدنى إنتاج</t>
        </r>
      </text>
    </comment>
    <comment ref="A21" authorId="0" shapeId="0" xr:uid="{CE5AB4CE-167B-481D-8159-E81ADA41A249}">
      <text>
        <r>
          <rPr>
            <b/>
            <sz val="9"/>
            <color indexed="81"/>
            <rFont val="Tahoma"/>
            <family val="2"/>
          </rPr>
          <t>عدد المنتجات</t>
        </r>
      </text>
    </comment>
  </commentList>
</comments>
</file>

<file path=xl/sharedStrings.xml><?xml version="1.0" encoding="utf-8"?>
<sst xmlns="http://schemas.openxmlformats.org/spreadsheetml/2006/main" count="94" uniqueCount="36">
  <si>
    <t>Situation : Tu travailles dans une coopérative d'huile d'argan dans la région de Souss Massa. Les productrices reçoivent une prime si leur production dépasse 10 litres par semaine.</t>
  </si>
  <si>
    <t>📌 Règle SI : Si production ≥ 10 L → prime de 50 DH | Sinon → pas de prime</t>
  </si>
  <si>
    <t>N°</t>
  </si>
  <si>
    <t>Productrice</t>
  </si>
  <si>
    <t>Village</t>
  </si>
  <si>
    <t>Prix/litre (DH)</t>
  </si>
  <si>
    <t>Revenu de base (DH)</t>
  </si>
  <si>
    <t>Prime (SI)</t>
  </si>
  <si>
    <t>Revenu Total (DH)</t>
  </si>
  <si>
    <t>Fatima Aït Brahim</t>
  </si>
  <si>
    <t>Aït Baha</t>
  </si>
  <si>
    <t>?</t>
  </si>
  <si>
    <t>Khadija Oulad Said</t>
  </si>
  <si>
    <t>Tafraout</t>
  </si>
  <si>
    <t>Zahra Ameziane</t>
  </si>
  <si>
    <t>Argana</t>
  </si>
  <si>
    <t>Malika Ouchen</t>
  </si>
  <si>
    <t>Taroudant</t>
  </si>
  <si>
    <t>Habiba Tafat</t>
  </si>
  <si>
    <t>Tiznit</t>
  </si>
  <si>
    <t>Rahma Boulahcen</t>
  </si>
  <si>
    <t>Saadia Iguider</t>
  </si>
  <si>
    <t>Touria Aït Mansour</t>
  </si>
  <si>
    <t>Nadia Berrada</t>
  </si>
  <si>
    <t>Souad Amghar</t>
  </si>
  <si>
    <t>Production totale (L)</t>
  </si>
  <si>
    <t>Revenu total distribué (DH)</t>
  </si>
  <si>
    <t>Production maximale</t>
  </si>
  <si>
    <t>Production minimale</t>
  </si>
  <si>
    <t>Nb de productrices</t>
  </si>
  <si>
    <t>Question</t>
  </si>
  <si>
    <t>Note en %</t>
  </si>
  <si>
    <t xml:space="preserve">Pourcentage Total </t>
  </si>
  <si>
    <t>pourcentage %</t>
  </si>
  <si>
    <r>
      <t xml:space="preserve">🌿 EXERCICE – Coopérative Arganière de Souss Massa | </t>
    </r>
    <r>
      <rPr>
        <b/>
        <sz val="13"/>
        <color rgb="FFFFC000"/>
        <rFont val="Arial"/>
        <family val="2"/>
      </rPr>
      <t>Fonction Si</t>
    </r>
  </si>
  <si>
    <t>Production (L)/semaine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</si>
</sst>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د.م.‏-1801]_-;\-* #,##0.00\ [$د.م.‏-1801]_-;_-* &quot;-&quot;??\ [$د.م.‏-1801]_-;_-@_-"/>
  </numFmts>
  <fonts count="1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375623"/>
      <name val="Arial"/>
      <family val="2"/>
    </font>
    <font>
      <b/>
      <sz val="11"/>
      <color theme="1"/>
      <name val="Biome"/>
      <family val="2"/>
    </font>
    <font>
      <sz val="11"/>
      <color theme="1"/>
      <name val="Biome"/>
      <family val="2"/>
    </font>
    <font>
      <b/>
      <sz val="9"/>
      <color indexed="81"/>
      <name val="Tahoma"/>
      <family val="2"/>
    </font>
    <font>
      <b/>
      <sz val="12"/>
      <color rgb="FFFFFFFF"/>
      <name val="Sakkal Majalla"/>
    </font>
    <font>
      <b/>
      <sz val="12"/>
      <color rgb="FF375623"/>
      <name val="Sakkal Majalla"/>
    </font>
    <font>
      <b/>
      <sz val="12"/>
      <color rgb="FF000000"/>
      <name val="Sakkal Majalla"/>
    </font>
    <font>
      <b/>
      <sz val="12"/>
      <color rgb="FFFF0000"/>
      <name val="Sakkal Majalla"/>
    </font>
    <font>
      <b/>
      <sz val="9"/>
      <color indexed="81"/>
      <name val="Tahoma"/>
    </font>
    <font>
      <b/>
      <sz val="13"/>
      <color rgb="FFFFC000"/>
      <name val="Arial"/>
      <family val="2"/>
    </font>
    <font>
      <i/>
      <sz val="14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375623"/>
        <bgColor rgb="FF333300"/>
      </patternFill>
    </fill>
    <fill>
      <patternFill patternType="solid">
        <fgColor rgb="FFFFF2CC"/>
        <bgColor rgb="FFFFF2EA"/>
      </patternFill>
    </fill>
    <fill>
      <patternFill patternType="solid">
        <fgColor rgb="FFE2EFDA"/>
        <bgColor rgb="FFE8F5E9"/>
      </patternFill>
    </fill>
    <fill>
      <patternFill patternType="solid">
        <fgColor rgb="FFE8F5E9"/>
        <bgColor rgb="FFEAF4FB"/>
      </patternFill>
    </fill>
    <fill>
      <patternFill patternType="solid">
        <fgColor rgb="FFFFFFFF"/>
        <bgColor rgb="FFFFF2EA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2" borderId="1" applyNumberFormat="0" applyFont="0" applyAlignment="0" applyProtection="0"/>
  </cellStyleXfs>
  <cellXfs count="37">
    <xf numFmtId="0" fontId="0" fillId="0" borderId="0" xfId="0"/>
    <xf numFmtId="0" fontId="4" fillId="8" borderId="1" xfId="2" applyFont="1" applyFill="1" applyAlignment="1">
      <alignment horizontal="center" vertical="center"/>
    </xf>
    <xf numFmtId="9" fontId="5" fillId="2" borderId="1" xfId="1" applyFont="1" applyFill="1" applyBorder="1" applyAlignment="1">
      <alignment horizontal="center" vertical="center"/>
    </xf>
    <xf numFmtId="9" fontId="4" fillId="2" borderId="1" xfId="1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left" vertical="center" wrapText="1"/>
    </xf>
    <xf numFmtId="164" fontId="9" fillId="6" borderId="3" xfId="0" applyNumberFormat="1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left" vertical="center" wrapText="1"/>
    </xf>
    <xf numFmtId="164" fontId="9" fillId="7" borderId="3" xfId="0" applyNumberFormat="1" applyFont="1" applyFill="1" applyBorder="1" applyAlignment="1">
      <alignment horizontal="center" vertical="center" wrapText="1"/>
    </xf>
    <xf numFmtId="164" fontId="10" fillId="6" borderId="3" xfId="0" applyNumberFormat="1" applyFont="1" applyFill="1" applyBorder="1" applyAlignment="1">
      <alignment horizontal="center" vertical="center" wrapText="1"/>
    </xf>
    <xf numFmtId="164" fontId="10" fillId="7" borderId="3" xfId="0" applyNumberFormat="1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5" fillId="2" borderId="1" xfId="2" applyFont="1" applyAlignment="1">
      <alignment horizontal="center" vertical="center"/>
    </xf>
    <xf numFmtId="0" fontId="5" fillId="2" borderId="4" xfId="2" applyFont="1" applyBorder="1" applyAlignment="1">
      <alignment horizontal="center" vertical="center"/>
    </xf>
    <xf numFmtId="0" fontId="5" fillId="2" borderId="5" xfId="2" applyFont="1" applyBorder="1" applyAlignment="1">
      <alignment horizontal="center" vertical="center"/>
    </xf>
    <xf numFmtId="0" fontId="4" fillId="2" borderId="1" xfId="2" applyFont="1" applyAlignment="1">
      <alignment horizontal="center"/>
    </xf>
    <xf numFmtId="0" fontId="4" fillId="8" borderId="1" xfId="2" applyFont="1" applyFill="1" applyAlignment="1">
      <alignment horizontal="center" vertical="center"/>
    </xf>
    <xf numFmtId="0" fontId="10" fillId="6" borderId="3" xfId="0" applyNumberFormat="1" applyFont="1" applyFill="1" applyBorder="1" applyAlignment="1">
      <alignment horizontal="center" vertical="center" wrapText="1"/>
    </xf>
    <xf numFmtId="0" fontId="10" fillId="7" borderId="3" xfId="0" applyNumberFormat="1" applyFont="1" applyFill="1" applyBorder="1" applyAlignment="1">
      <alignment horizontal="center" vertical="center" wrapText="1"/>
    </xf>
    <xf numFmtId="9" fontId="10" fillId="6" borderId="3" xfId="1" applyFont="1" applyFill="1" applyBorder="1" applyAlignment="1">
      <alignment horizontal="center" vertical="center" wrapText="1"/>
    </xf>
    <xf numFmtId="9" fontId="10" fillId="7" borderId="3" xfId="1" applyFont="1" applyFill="1" applyBorder="1" applyAlignment="1">
      <alignment horizontal="center" vertical="center" wrapText="1"/>
    </xf>
    <xf numFmtId="9" fontId="0" fillId="0" borderId="0" xfId="1" applyFont="1"/>
    <xf numFmtId="0" fontId="2" fillId="3" borderId="8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 wrapText="1"/>
    </xf>
  </cellXfs>
  <cellStyles count="3">
    <cellStyle name="Normal" xfId="0" builtinId="0"/>
    <cellStyle name="Note" xfId="2" builtinId="1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hyperlink" Target="https://fondogastronomico.blogspot.com/2012/12/lista-imposible-aceite-de-argan.html" TargetMode="External"/><Relationship Id="rId1" Type="http://schemas.openxmlformats.org/officeDocument/2006/relationships/image" Target="../media/image1.jpeg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hyperlink" Target="https://www.britannica.com/topic/argan-oil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144780</xdr:colOff>
      <xdr:row>15</xdr:row>
      <xdr:rowOff>167641</xdr:rowOff>
    </xdr:from>
    <xdr:to>
      <xdr:col>5</xdr:col>
      <xdr:colOff>1158240</xdr:colOff>
      <xdr:row>21</xdr:row>
      <xdr:rowOff>78531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005A1D3-BB40-41F0-8A11-84EBD2433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4945380" y="4221481"/>
          <a:ext cx="1013460" cy="1046270"/>
        </a:xfrm>
        <a:prstGeom prst="rect">
          <a:avLst/>
        </a:prstGeom>
      </xdr:spPr>
    </xdr:pic>
    <xdr:clientData/>
  </xdr:twoCellAnchor>
  <xdr:twoCellAnchor editAs="oneCell">
    <xdr:from>
      <xdr:col>6</xdr:col>
      <xdr:colOff>76200</xdr:colOff>
      <xdr:row>16</xdr:row>
      <xdr:rowOff>22860</xdr:rowOff>
    </xdr:from>
    <xdr:to>
      <xdr:col>7</xdr:col>
      <xdr:colOff>493285</xdr:colOff>
      <xdr:row>21</xdr:row>
      <xdr:rowOff>53340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AD6713F-282D-4B9C-A4AA-63AB69C68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4"/>
            </a:ext>
          </a:extLst>
        </a:blip>
        <a:stretch>
          <a:fillRect/>
        </a:stretch>
      </xdr:blipFill>
      <xdr:spPr>
        <a:xfrm>
          <a:off x="6111240" y="4259580"/>
          <a:ext cx="1377205" cy="982980"/>
        </a:xfrm>
        <a:prstGeom prst="rect">
          <a:avLst/>
        </a:prstGeom>
      </xdr:spPr>
    </xdr:pic>
    <xdr:clientData/>
  </xdr:twoCellAnchor>
  <xdr:twoCellAnchor>
    <xdr:from>
      <xdr:col>9</xdr:col>
      <xdr:colOff>541020</xdr:colOff>
      <xdr:row>2</xdr:row>
      <xdr:rowOff>91441</xdr:rowOff>
    </xdr:from>
    <xdr:to>
      <xdr:col>14</xdr:col>
      <xdr:colOff>413062</xdr:colOff>
      <xdr:row>17</xdr:row>
      <xdr:rowOff>85189</xdr:rowOff>
    </xdr:to>
    <xdr:grpSp>
      <xdr:nvGrpSpPr>
        <xdr:cNvPr id="9" name="Groupe 8">
          <a:extLst>
            <a:ext uri="{FF2B5EF4-FFF2-40B4-BE49-F238E27FC236}">
              <a16:creationId xmlns:a16="http://schemas.microsoft.com/office/drawing/2014/main" id="{4F9931FB-7684-977B-37A6-A8D562A3C902}"/>
            </a:ext>
          </a:extLst>
        </xdr:cNvPr>
        <xdr:cNvGrpSpPr/>
      </xdr:nvGrpSpPr>
      <xdr:grpSpPr>
        <a:xfrm>
          <a:off x="9631680" y="1104901"/>
          <a:ext cx="3994462" cy="3666588"/>
          <a:chOff x="9631680" y="1066801"/>
          <a:chExt cx="3994462" cy="3666588"/>
        </a:xfrm>
      </xdr:grpSpPr>
      <xdr:pic>
        <xdr:nvPicPr>
          <xdr:cNvPr id="7" name="Image 6">
            <a:extLst>
              <a:ext uri="{FF2B5EF4-FFF2-40B4-BE49-F238E27FC236}">
                <a16:creationId xmlns:a16="http://schemas.microsoft.com/office/drawing/2014/main" id="{BA59692C-0430-996E-5B98-74987331779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9631680" y="1066801"/>
            <a:ext cx="3994462" cy="2613660"/>
          </a:xfrm>
          <a:prstGeom prst="rect">
            <a:avLst/>
          </a:prstGeom>
          <a:ln>
            <a:solidFill>
              <a:srgbClr val="FF0000"/>
            </a:solidFill>
          </a:ln>
        </xdr:spPr>
      </xdr:pic>
      <xdr:pic>
        <xdr:nvPicPr>
          <xdr:cNvPr id="8" name="Image 7">
            <a:extLst>
              <a:ext uri="{FF2B5EF4-FFF2-40B4-BE49-F238E27FC236}">
                <a16:creationId xmlns:a16="http://schemas.microsoft.com/office/drawing/2014/main" id="{85711295-4F4A-2CFF-0CEA-9A19FEF6271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9845041" y="3771901"/>
            <a:ext cx="3665220" cy="961488"/>
          </a:xfrm>
          <a:prstGeom prst="rect">
            <a:avLst/>
          </a:prstGeom>
          <a:ln>
            <a:solidFill>
              <a:srgbClr val="FF0000"/>
            </a:solidFill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AB3D8-AF15-4C7C-8397-A8A2B570ECB5}">
  <dimension ref="A1:M32"/>
  <sheetViews>
    <sheetView showGridLines="0" tabSelected="1" zoomScaleNormal="100" workbookViewId="0">
      <selection activeCell="F6" sqref="F6"/>
    </sheetView>
  </sheetViews>
  <sheetFormatPr baseColWidth="10" defaultColWidth="8.6640625" defaultRowHeight="14.4" x14ac:dyDescent="0.3"/>
  <cols>
    <col min="1" max="1" width="6" customWidth="1"/>
    <col min="2" max="2" width="17.44140625" customWidth="1"/>
    <col min="3" max="3" width="14" customWidth="1"/>
    <col min="4" max="4" width="18.44140625" bestFit="1" customWidth="1"/>
    <col min="5" max="5" width="14" customWidth="1"/>
    <col min="6" max="6" width="18" customWidth="1"/>
    <col min="7" max="7" width="14" customWidth="1"/>
    <col min="8" max="8" width="18" customWidth="1"/>
    <col min="9" max="9" width="12.6640625" customWidth="1"/>
    <col min="11" max="11" width="11.88671875" customWidth="1"/>
    <col min="12" max="12" width="18.21875" customWidth="1"/>
    <col min="13" max="13" width="12.6640625" bestFit="1" customWidth="1"/>
  </cols>
  <sheetData>
    <row r="1" spans="1:11" ht="36" customHeight="1" x14ac:dyDescent="0.3">
      <c r="A1" s="32" t="s">
        <v>34</v>
      </c>
      <c r="B1" s="33"/>
      <c r="C1" s="33"/>
      <c r="D1" s="33"/>
      <c r="E1" s="33"/>
      <c r="F1" s="33"/>
      <c r="G1" s="33"/>
      <c r="H1" s="33"/>
      <c r="I1" s="33"/>
    </row>
    <row r="2" spans="1:11" ht="43.8" customHeight="1" x14ac:dyDescent="0.3">
      <c r="A2" s="34" t="s">
        <v>0</v>
      </c>
      <c r="B2" s="34"/>
      <c r="C2" s="34"/>
      <c r="D2" s="34"/>
      <c r="E2" s="34"/>
      <c r="F2" s="34"/>
      <c r="G2" s="34"/>
      <c r="H2" s="34"/>
      <c r="I2" s="34"/>
    </row>
    <row r="3" spans="1:11" ht="27.75" customHeight="1" x14ac:dyDescent="0.3">
      <c r="A3" s="15" t="s">
        <v>1</v>
      </c>
      <c r="B3" s="15"/>
      <c r="C3" s="15"/>
      <c r="D3" s="15"/>
      <c r="E3" s="15"/>
      <c r="F3" s="15"/>
      <c r="G3" s="15"/>
      <c r="H3" s="15"/>
      <c r="I3" s="15"/>
    </row>
    <row r="5" spans="1:11" ht="37.799999999999997" customHeight="1" x14ac:dyDescent="0.3">
      <c r="A5" s="4" t="s">
        <v>2</v>
      </c>
      <c r="B5" s="4" t="s">
        <v>3</v>
      </c>
      <c r="C5" s="4" t="s">
        <v>4</v>
      </c>
      <c r="D5" s="35" t="s">
        <v>35</v>
      </c>
      <c r="E5" s="4" t="s">
        <v>5</v>
      </c>
      <c r="F5" s="4" t="s">
        <v>6</v>
      </c>
      <c r="G5" s="4" t="s">
        <v>7</v>
      </c>
      <c r="H5" s="4" t="s">
        <v>8</v>
      </c>
      <c r="I5" s="4" t="s">
        <v>33</v>
      </c>
    </row>
    <row r="6" spans="1:11" ht="18" x14ac:dyDescent="0.3">
      <c r="A6" s="8">
        <v>1</v>
      </c>
      <c r="B6" s="9" t="s">
        <v>9</v>
      </c>
      <c r="C6" s="8" t="s">
        <v>10</v>
      </c>
      <c r="D6" s="5">
        <v>12</v>
      </c>
      <c r="E6" s="10">
        <v>350</v>
      </c>
      <c r="F6" s="13" t="s">
        <v>11</v>
      </c>
      <c r="G6" s="13" t="s">
        <v>11</v>
      </c>
      <c r="H6" s="13" t="s">
        <v>11</v>
      </c>
      <c r="I6" s="29" t="s">
        <v>11</v>
      </c>
      <c r="J6" s="31"/>
      <c r="K6" s="31"/>
    </row>
    <row r="7" spans="1:11" ht="18" x14ac:dyDescent="0.3">
      <c r="A7" s="6">
        <v>2</v>
      </c>
      <c r="B7" s="11" t="s">
        <v>12</v>
      </c>
      <c r="C7" s="6" t="s">
        <v>13</v>
      </c>
      <c r="D7" s="6">
        <v>7</v>
      </c>
      <c r="E7" s="12">
        <v>350</v>
      </c>
      <c r="F7" s="14" t="s">
        <v>11</v>
      </c>
      <c r="G7" s="14" t="s">
        <v>11</v>
      </c>
      <c r="H7" s="14" t="s">
        <v>11</v>
      </c>
      <c r="I7" s="30" t="s">
        <v>11</v>
      </c>
      <c r="J7" s="31"/>
      <c r="K7" s="31"/>
    </row>
    <row r="8" spans="1:11" ht="18" x14ac:dyDescent="0.3">
      <c r="A8" s="8">
        <v>3</v>
      </c>
      <c r="B8" s="9" t="s">
        <v>14</v>
      </c>
      <c r="C8" s="8" t="s">
        <v>15</v>
      </c>
      <c r="D8" s="5">
        <v>15</v>
      </c>
      <c r="E8" s="10">
        <v>350</v>
      </c>
      <c r="F8" s="13" t="s">
        <v>11</v>
      </c>
      <c r="G8" s="13" t="s">
        <v>11</v>
      </c>
      <c r="H8" s="13" t="s">
        <v>11</v>
      </c>
      <c r="I8" s="29" t="s">
        <v>11</v>
      </c>
      <c r="J8" s="31"/>
      <c r="K8" s="31"/>
    </row>
    <row r="9" spans="1:11" ht="18" x14ac:dyDescent="0.3">
      <c r="A9" s="6">
        <v>4</v>
      </c>
      <c r="B9" s="11" t="s">
        <v>16</v>
      </c>
      <c r="C9" s="6" t="s">
        <v>17</v>
      </c>
      <c r="D9" s="6">
        <v>9</v>
      </c>
      <c r="E9" s="12">
        <v>350</v>
      </c>
      <c r="F9" s="14" t="s">
        <v>11</v>
      </c>
      <c r="G9" s="14" t="s">
        <v>11</v>
      </c>
      <c r="H9" s="14" t="s">
        <v>11</v>
      </c>
      <c r="I9" s="30" t="s">
        <v>11</v>
      </c>
      <c r="J9" s="31"/>
      <c r="K9" s="31"/>
    </row>
    <row r="10" spans="1:11" ht="18" x14ac:dyDescent="0.3">
      <c r="A10" s="8">
        <v>5</v>
      </c>
      <c r="B10" s="9" t="s">
        <v>18</v>
      </c>
      <c r="C10" s="8" t="s">
        <v>19</v>
      </c>
      <c r="D10" s="5">
        <v>11</v>
      </c>
      <c r="E10" s="10">
        <v>350</v>
      </c>
      <c r="F10" s="13" t="s">
        <v>11</v>
      </c>
      <c r="G10" s="13" t="s">
        <v>11</v>
      </c>
      <c r="H10" s="13" t="s">
        <v>11</v>
      </c>
      <c r="I10" s="29" t="s">
        <v>11</v>
      </c>
      <c r="J10" s="31"/>
      <c r="K10" s="31"/>
    </row>
    <row r="11" spans="1:11" ht="18" x14ac:dyDescent="0.3">
      <c r="A11" s="6">
        <v>6</v>
      </c>
      <c r="B11" s="11" t="s">
        <v>20</v>
      </c>
      <c r="C11" s="6" t="s">
        <v>10</v>
      </c>
      <c r="D11" s="6">
        <v>6</v>
      </c>
      <c r="E11" s="12">
        <v>350</v>
      </c>
      <c r="F11" s="14" t="s">
        <v>11</v>
      </c>
      <c r="G11" s="14" t="s">
        <v>11</v>
      </c>
      <c r="H11" s="14" t="s">
        <v>11</v>
      </c>
      <c r="I11" s="30" t="s">
        <v>11</v>
      </c>
      <c r="J11" s="31"/>
      <c r="K11" s="31"/>
    </row>
    <row r="12" spans="1:11" ht="18" x14ac:dyDescent="0.3">
      <c r="A12" s="8">
        <v>7</v>
      </c>
      <c r="B12" s="9" t="s">
        <v>21</v>
      </c>
      <c r="C12" s="8" t="s">
        <v>15</v>
      </c>
      <c r="D12" s="5">
        <v>14</v>
      </c>
      <c r="E12" s="10">
        <v>350</v>
      </c>
      <c r="F12" s="13" t="s">
        <v>11</v>
      </c>
      <c r="G12" s="13" t="s">
        <v>11</v>
      </c>
      <c r="H12" s="13" t="s">
        <v>11</v>
      </c>
      <c r="I12" s="29" t="s">
        <v>11</v>
      </c>
      <c r="J12" s="31"/>
      <c r="K12" s="31"/>
    </row>
    <row r="13" spans="1:11" ht="18" x14ac:dyDescent="0.3">
      <c r="A13" s="6">
        <v>8</v>
      </c>
      <c r="B13" s="11" t="s">
        <v>22</v>
      </c>
      <c r="C13" s="6" t="s">
        <v>13</v>
      </c>
      <c r="D13" s="7">
        <v>10</v>
      </c>
      <c r="E13" s="12">
        <v>350</v>
      </c>
      <c r="F13" s="14" t="s">
        <v>11</v>
      </c>
      <c r="G13" s="14" t="s">
        <v>11</v>
      </c>
      <c r="H13" s="14" t="s">
        <v>11</v>
      </c>
      <c r="I13" s="30" t="s">
        <v>11</v>
      </c>
      <c r="J13" s="31"/>
      <c r="K13" s="31"/>
    </row>
    <row r="14" spans="1:11" ht="18" x14ac:dyDescent="0.3">
      <c r="A14" s="8">
        <v>9</v>
      </c>
      <c r="B14" s="9" t="s">
        <v>23</v>
      </c>
      <c r="C14" s="8" t="s">
        <v>19</v>
      </c>
      <c r="D14" s="8">
        <v>8</v>
      </c>
      <c r="E14" s="10">
        <v>350</v>
      </c>
      <c r="F14" s="13" t="s">
        <v>11</v>
      </c>
      <c r="G14" s="13" t="s">
        <v>11</v>
      </c>
      <c r="H14" s="13" t="s">
        <v>11</v>
      </c>
      <c r="I14" s="29" t="s">
        <v>11</v>
      </c>
      <c r="J14" s="31"/>
      <c r="K14" s="31"/>
    </row>
    <row r="15" spans="1:11" ht="18" x14ac:dyDescent="0.3">
      <c r="A15" s="6">
        <v>10</v>
      </c>
      <c r="B15" s="11" t="s">
        <v>24</v>
      </c>
      <c r="C15" s="6" t="s">
        <v>17</v>
      </c>
      <c r="D15" s="7">
        <v>13</v>
      </c>
      <c r="E15" s="12">
        <v>350</v>
      </c>
      <c r="F15" s="14" t="s">
        <v>11</v>
      </c>
      <c r="G15" s="14" t="s">
        <v>11</v>
      </c>
      <c r="H15" s="14" t="s">
        <v>11</v>
      </c>
      <c r="I15" s="30" t="s">
        <v>11</v>
      </c>
      <c r="J15" s="31"/>
      <c r="K15" s="31"/>
    </row>
    <row r="17" spans="1:13" ht="15" customHeight="1" x14ac:dyDescent="0.3">
      <c r="A17" s="19" t="s">
        <v>26</v>
      </c>
      <c r="B17" s="20"/>
      <c r="C17" s="21"/>
      <c r="D17" s="14" t="s">
        <v>11</v>
      </c>
    </row>
    <row r="18" spans="1:13" ht="15" customHeight="1" x14ac:dyDescent="0.3">
      <c r="A18" s="16" t="s">
        <v>25</v>
      </c>
      <c r="B18" s="17"/>
      <c r="C18" s="18"/>
      <c r="D18" s="36" t="s">
        <v>11</v>
      </c>
    </row>
    <row r="19" spans="1:13" ht="15" customHeight="1" x14ac:dyDescent="0.3">
      <c r="A19" s="19" t="s">
        <v>27</v>
      </c>
      <c r="B19" s="20"/>
      <c r="C19" s="21"/>
      <c r="D19" s="28" t="s">
        <v>11</v>
      </c>
    </row>
    <row r="20" spans="1:13" ht="15" customHeight="1" x14ac:dyDescent="0.3">
      <c r="A20" s="16" t="s">
        <v>28</v>
      </c>
      <c r="B20" s="17"/>
      <c r="C20" s="18"/>
      <c r="D20" s="27" t="s">
        <v>11</v>
      </c>
    </row>
    <row r="21" spans="1:13" ht="15" customHeight="1" x14ac:dyDescent="0.3">
      <c r="A21" s="19" t="s">
        <v>29</v>
      </c>
      <c r="B21" s="20"/>
      <c r="C21" s="21"/>
      <c r="D21" s="28" t="s">
        <v>11</v>
      </c>
    </row>
    <row r="22" spans="1:13" x14ac:dyDescent="0.3">
      <c r="K22" s="26" t="s">
        <v>30</v>
      </c>
      <c r="L22" s="26"/>
      <c r="M22" s="1" t="s">
        <v>31</v>
      </c>
    </row>
    <row r="23" spans="1:13" x14ac:dyDescent="0.3">
      <c r="K23" s="22" t="s">
        <v>6</v>
      </c>
      <c r="L23" s="22"/>
      <c r="M23" s="2">
        <f>IF(AND(_xlfn.ISFORMULA(F6),F6=D6*E6),20%,0)</f>
        <v>0</v>
      </c>
    </row>
    <row r="24" spans="1:13" x14ac:dyDescent="0.3">
      <c r="K24" s="22" t="s">
        <v>7</v>
      </c>
      <c r="L24" s="22"/>
      <c r="M24" s="2">
        <f>IF(AND(_xlfn.ISFORMULA(G6),G6=(IF(D6&gt;=10,50,0))),20%,0)</f>
        <v>0</v>
      </c>
    </row>
    <row r="25" spans="1:13" x14ac:dyDescent="0.3">
      <c r="K25" s="22" t="s">
        <v>8</v>
      </c>
      <c r="L25" s="22"/>
      <c r="M25" s="2">
        <f>IFERROR(IF(AND(_xlfn.ISFORMULA(H6),H6=F6+G6),20%,0),0)</f>
        <v>0</v>
      </c>
    </row>
    <row r="26" spans="1:13" x14ac:dyDescent="0.3">
      <c r="K26" s="22" t="s">
        <v>33</v>
      </c>
      <c r="L26" s="22"/>
      <c r="M26" s="2">
        <f>IFERROR(IF(AND(_xlfn.ISFORMULA(I6),I6=H6/SUM($H$6:$H$15)),20%,0),0)</f>
        <v>0</v>
      </c>
    </row>
    <row r="27" spans="1:13" x14ac:dyDescent="0.3">
      <c r="K27" s="22" t="s">
        <v>26</v>
      </c>
      <c r="L27" s="22"/>
      <c r="M27" s="2">
        <f>IFERROR(IF(AND(_xlfn.ISFORMULA(D17),D17=SUM(H6:H15)),5%,0),0)</f>
        <v>0</v>
      </c>
    </row>
    <row r="28" spans="1:13" x14ac:dyDescent="0.3">
      <c r="K28" s="22" t="s">
        <v>25</v>
      </c>
      <c r="L28" s="22"/>
      <c r="M28" s="2">
        <f>IF(AND(_xlfn.ISFORMULA(D18),D18=SUM(D6:D15)),5%,0)</f>
        <v>0</v>
      </c>
    </row>
    <row r="29" spans="1:13" x14ac:dyDescent="0.3">
      <c r="K29" s="22" t="s">
        <v>27</v>
      </c>
      <c r="L29" s="22"/>
      <c r="M29" s="2">
        <f>IF(AND(_xlfn.ISFORMULA(D19),D19=MAX(D6:D15)),5%,0)</f>
        <v>0</v>
      </c>
    </row>
    <row r="30" spans="1:13" x14ac:dyDescent="0.3">
      <c r="K30" s="22" t="s">
        <v>28</v>
      </c>
      <c r="L30" s="22"/>
      <c r="M30" s="2">
        <f>IF(AND(_xlfn.ISFORMULA(D20),D20=MIN(D6:D15)),5%,0)</f>
        <v>0</v>
      </c>
    </row>
    <row r="31" spans="1:13" x14ac:dyDescent="0.3">
      <c r="K31" s="23" t="s">
        <v>29</v>
      </c>
      <c r="L31" s="24"/>
      <c r="M31" s="2">
        <f>IF(AND(_xlfn.ISFORMULA(D21),D21=COUNT(D6:D15)),5%,0)</f>
        <v>0</v>
      </c>
    </row>
    <row r="32" spans="1:13" x14ac:dyDescent="0.3">
      <c r="K32" s="25" t="s">
        <v>32</v>
      </c>
      <c r="L32" s="25"/>
      <c r="M32" s="3">
        <f>SUM(M23:M30)</f>
        <v>0</v>
      </c>
    </row>
  </sheetData>
  <mergeCells count="19">
    <mergeCell ref="A2:I2"/>
    <mergeCell ref="A1:I1"/>
    <mergeCell ref="K26:L26"/>
    <mergeCell ref="K29:L29"/>
    <mergeCell ref="K30:L30"/>
    <mergeCell ref="K31:L31"/>
    <mergeCell ref="K32:L32"/>
    <mergeCell ref="A18:C18"/>
    <mergeCell ref="A3:I3"/>
    <mergeCell ref="K22:L22"/>
    <mergeCell ref="K23:L23"/>
    <mergeCell ref="K24:L24"/>
    <mergeCell ref="K25:L25"/>
    <mergeCell ref="K28:L28"/>
    <mergeCell ref="K27:L27"/>
    <mergeCell ref="A17:C17"/>
    <mergeCell ref="A19:C19"/>
    <mergeCell ref="A20:C20"/>
    <mergeCell ref="A21:C21"/>
  </mergeCells>
  <conditionalFormatting sqref="M23:M3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{9B0DA3BB-91BA-4315-84E6-F5C93FDC20C6}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0DA3BB-91BA-4315-84E6-F5C93FDC20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🌿 Coopérative Argan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ABDELLAH.TAHTOH</dc:creator>
  <cp:lastModifiedBy>ABDELLAH.TAHTOH</cp:lastModifiedBy>
  <dcterms:created xsi:type="dcterms:W3CDTF">2026-02-22T22:33:27Z</dcterms:created>
  <dcterms:modified xsi:type="dcterms:W3CDTF">2026-02-27T12:09:24Z</dcterms:modified>
</cp:coreProperties>
</file>