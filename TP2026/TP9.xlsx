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ahto\OneDrive\Documents\GitHub\u3\TP2026\"/>
    </mc:Choice>
  </mc:AlternateContent>
  <xr:revisionPtr revIDLastSave="0" documentId="13_ncr:1_{834BBB74-51EF-4897-AEC4-478BE5F038DB}" xr6:coauthVersionLast="47" xr6:coauthVersionMax="47" xr10:uidLastSave="{00000000-0000-0000-0000-000000000000}"/>
  <bookViews>
    <workbookView xWindow="-108" yWindow="-108" windowWidth="23256" windowHeight="12456" xr2:uid="{81613824-27A1-410A-B2DF-370252333762}"/>
  </bookViews>
  <sheets>
    <sheet name="🌿 Coopérative Argan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M31" i="1"/>
  <c r="M30" i="1"/>
  <c r="M29" i="1"/>
  <c r="M27" i="1"/>
  <c r="M25" i="1"/>
  <c r="M24" i="1"/>
  <c r="M28" i="1" l="1"/>
  <c r="M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Abdellah TAHTOH</author>
  </authors>
  <commentList>
    <comment ref="A2" authorId="0" shapeId="0" xr:uid="{E2149996-1691-4DFF-B431-4452BD1CAB89}">
      <text>
        <r>
          <rPr>
            <b/>
            <sz val="9"/>
            <color indexed="81"/>
            <rFont val="Tahoma"/>
            <family val="2"/>
          </rPr>
          <t>الوضعية: تعمل في تعاونية لإنتاج زيت الأركان في جهة سوس ماسة. تحصل المنتجات على منحة إذا تجاوز إنتاجهن 10 لترات في الأسبوع.</t>
        </r>
      </text>
    </comment>
    <comment ref="A3" authorId="0" shapeId="0" xr:uid="{7C8FAC67-D66F-4E8B-970A-2DA42885EF40}">
      <text>
        <r>
          <rPr>
            <b/>
            <sz val="9"/>
            <color indexed="81"/>
            <rFont val="Tahoma"/>
            <family val="2"/>
          </rPr>
          <t>📌 قاعدة SI: 
إذا كان الإنتاج =&lt; 10 لترات 
 منحة قدرها 50 درهم 
 وإلا  لا منحة</t>
        </r>
      </text>
    </comment>
    <comment ref="B5" authorId="0" shapeId="0" xr:uid="{5F70C084-FAF6-4C36-9E9E-5127142C5698}">
      <text>
        <r>
          <rPr>
            <b/>
            <sz val="9"/>
            <color indexed="81"/>
            <rFont val="Tahoma"/>
            <family val="2"/>
          </rPr>
          <t>المنتجة</t>
        </r>
      </text>
    </comment>
    <comment ref="C5" authorId="0" shapeId="0" xr:uid="{8BD662CA-7167-40A1-BF7C-E025CA285702}">
      <text>
        <r>
          <rPr>
            <b/>
            <sz val="9"/>
            <color indexed="81"/>
            <rFont val="Tahoma"/>
            <family val="2"/>
          </rPr>
          <t>القرية</t>
        </r>
      </text>
    </comment>
    <comment ref="D5" authorId="0" shapeId="0" xr:uid="{B7CDD864-372D-41FA-9596-27502031C13B}">
      <text>
        <r>
          <rPr>
            <b/>
            <sz val="9"/>
            <color indexed="81"/>
            <rFont val="Tahoma"/>
            <family val="2"/>
          </rPr>
          <t>الانتاج</t>
        </r>
      </text>
    </comment>
    <comment ref="E5" authorId="0" shapeId="0" xr:uid="{423FDAE8-33CC-4CE9-BA8B-BD9609915893}">
      <text>
        <r>
          <rPr>
            <b/>
            <sz val="9"/>
            <color indexed="81"/>
            <rFont val="Tahoma"/>
            <family val="2"/>
          </rPr>
          <t>ثمن اللتر الواحد بالدرهم</t>
        </r>
      </text>
    </comment>
    <comment ref="F5" authorId="0" shapeId="0" xr:uid="{00E2698A-0DCF-4092-852A-6378A6FB74F7}">
      <text>
        <r>
          <rPr>
            <b/>
            <sz val="9"/>
            <color indexed="81"/>
            <rFont val="Tahoma"/>
            <family val="2"/>
          </rPr>
          <t>الدخل الأساسي (درهم)</t>
        </r>
      </text>
    </comment>
    <comment ref="G5" authorId="0" shapeId="0" xr:uid="{F4C539A0-FA55-442D-8182-64E50C884A4F}">
      <text>
        <r>
          <rPr>
            <b/>
            <sz val="9"/>
            <color indexed="81"/>
            <rFont val="Tahoma"/>
            <family val="2"/>
          </rPr>
          <t>العلاوة</t>
        </r>
      </text>
    </comment>
    <comment ref="H5" authorId="0" shapeId="0" xr:uid="{3D48DFA4-A1AD-4D50-8B31-E41D732F8616}">
      <text>
        <r>
          <rPr>
            <b/>
            <sz val="9"/>
            <color indexed="81"/>
            <rFont val="Tahoma"/>
            <family val="2"/>
          </rPr>
          <t>إجمالي الدخل (درهم)</t>
        </r>
      </text>
    </comment>
    <comment ref="E17" authorId="0" shapeId="0" xr:uid="{EF602834-F910-4654-87A3-9E048FDFE598}">
      <text>
        <r>
          <rPr>
            <b/>
            <sz val="9"/>
            <color indexed="81"/>
            <rFont val="Tahoma"/>
            <family val="2"/>
          </rPr>
          <t>🎯 العمل المطلوب:
1️⃣ الدخل الأساسي = الإنتاج × الثمن
2️⃣ منحة بشرط (SI) = إذا كان الدخل الأساسي ≥ 10 → 50 درهم ؛ وإلا → 0 درهم
3️⃣ الدخل الإجمالي = الدخل الأساسي + المنحة
4️⃣ إذا أصبحت المنحة 100 درهم عندما يكون الإنتاج ≥ 15 لترًا، قم بتعديل الصيغة.
5️⃣ كم عدد المنتجات اللواتي حصلن على منحة هذا الأسبوع؟
6️⃣ ما هو الإنتاج الإجمالي للتعاونية؟</t>
        </r>
      </text>
    </comment>
    <comment ref="A18" authorId="0" shapeId="0" xr:uid="{CDEFFB7A-F697-49E2-944D-D9D47178CD4E}">
      <text>
        <r>
          <rPr>
            <b/>
            <sz val="9"/>
            <color indexed="81"/>
            <rFont val="Tahoma"/>
            <family val="2"/>
          </rPr>
          <t>الإنتاج الكلي (لتر)</t>
        </r>
      </text>
    </comment>
    <comment ref="A19" authorId="0" shapeId="0" xr:uid="{A4A97C27-775B-4BC0-91AB-AF85232804B2}">
      <text>
        <r>
          <rPr>
            <b/>
            <sz val="9"/>
            <color indexed="81"/>
            <rFont val="Tahoma"/>
            <family val="2"/>
          </rPr>
          <t>إجمالي الدخل الموزع (درهم)</t>
        </r>
      </text>
    </comment>
    <comment ref="A20" authorId="0" shapeId="0" xr:uid="{3CDF6EFA-0526-4FA6-B6B9-1BEAE60DD56B}">
      <text>
        <r>
          <rPr>
            <b/>
            <sz val="9"/>
            <color indexed="81"/>
            <rFont val="Tahoma"/>
            <family val="2"/>
          </rPr>
          <t>أقصى إنتاج</t>
        </r>
      </text>
    </comment>
    <comment ref="A21" authorId="0" shapeId="0" xr:uid="{A546E164-2884-4437-818B-FF874C466460}">
      <text>
        <r>
          <rPr>
            <b/>
            <sz val="9"/>
            <color indexed="81"/>
            <rFont val="Tahoma"/>
            <family val="2"/>
          </rPr>
          <t>أدنى إنتاج</t>
        </r>
      </text>
    </comment>
    <comment ref="A22" authorId="0" shapeId="0" xr:uid="{9E0B277F-B0A9-4ABA-ABF5-7E5E3A5D58A6}">
      <text>
        <r>
          <rPr>
            <b/>
            <sz val="9"/>
            <color indexed="81"/>
            <rFont val="Tahoma"/>
            <family val="2"/>
          </rPr>
          <t>عدد المنتجات</t>
        </r>
      </text>
    </comment>
  </commentList>
</comments>
</file>

<file path=xl/sharedStrings.xml><?xml version="1.0" encoding="utf-8"?>
<sst xmlns="http://schemas.openxmlformats.org/spreadsheetml/2006/main" count="84" uniqueCount="37">
  <si>
    <t>🌿 EXERCICE – Coopérative Arganière de Souss Massa | Fonction SI</t>
  </si>
  <si>
    <t>Situation : Tu travailles dans une coopérative d'huile d'argan dans la région de Souss Massa. Les productrices reçoivent une prime si leur production dépasse 10 litres par semaine.</t>
  </si>
  <si>
    <t>📌 Règle SI : Si production ≥ 10 L → prime de 50 DH | Sinon → pas de prime</t>
  </si>
  <si>
    <t>N°</t>
  </si>
  <si>
    <t>Productrice</t>
  </si>
  <si>
    <t>Village</t>
  </si>
  <si>
    <t>Production (L)</t>
  </si>
  <si>
    <t>Prix/litre (DH)</t>
  </si>
  <si>
    <t>Revenu de base (DH)</t>
  </si>
  <si>
    <t>Prime (SI)</t>
  </si>
  <si>
    <t>Revenu Total (DH)</t>
  </si>
  <si>
    <t>Fatima Aït Brahim</t>
  </si>
  <si>
    <t>Aït Baha</t>
  </si>
  <si>
    <t>?</t>
  </si>
  <si>
    <t>Khadija Oulad Said</t>
  </si>
  <si>
    <t>Tafraout</t>
  </si>
  <si>
    <t>Zahra Ameziane</t>
  </si>
  <si>
    <t>Argana</t>
  </si>
  <si>
    <t>Malika Ouchen</t>
  </si>
  <si>
    <t>Taroudant</t>
  </si>
  <si>
    <t>Habiba Tafat</t>
  </si>
  <si>
    <t>Tiznit</t>
  </si>
  <si>
    <t>Rahma Boulahcen</t>
  </si>
  <si>
    <t>Saadia Iguider</t>
  </si>
  <si>
    <t>Touria Aït Mansour</t>
  </si>
  <si>
    <t>Nadia Berrada</t>
  </si>
  <si>
    <t>Souad Amghar</t>
  </si>
  <si>
    <t>📊 BILAN DE LA COOPÉRATIVE</t>
  </si>
  <si>
    <t>🎯 TRAVAIL À FAIRE :
1️⃣ Revenu de base = Production × Prix
2️⃣ Prime SI :         = si Revenu de base &gt;=10 ;  50DH   ;  0 DH
3️⃣ Revenu total = Revenu base + Prime
4️⃣ Si la prime passe à 100 DH pour ≥ 15 L, modifie la formule !
5️⃣ Combien de productrices ont reçu une prime cette semaine ?
6️⃣ Quelle est la production totale de la coopérative ?</t>
  </si>
  <si>
    <t>Production totale (L)</t>
  </si>
  <si>
    <t>Revenu total distribué (DH)</t>
  </si>
  <si>
    <t>Production maximale</t>
  </si>
  <si>
    <t>Production minimale</t>
  </si>
  <si>
    <t>Nb de productrices</t>
  </si>
  <si>
    <t>Question</t>
  </si>
  <si>
    <t>Note en %</t>
  </si>
  <si>
    <t xml:space="preserve">Pourcentage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</si>
</sst>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د.م.‏-1801]_-;\-* #,##0.00\ [$د.م.‏-1801]_-;_-* &quot;-&quot;??\ [$د.م.‏-1801]_-;_-@_-"/>
  </numFmts>
  <fonts count="1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10"/>
      <color rgb="FF000000"/>
      <name val="Arial"/>
      <family val="2"/>
    </font>
    <font>
      <b/>
      <sz val="10"/>
      <color rgb="FF375623"/>
      <name val="Arial"/>
      <family val="2"/>
    </font>
    <font>
      <b/>
      <sz val="11"/>
      <color rgb="FFFFFFFF"/>
      <name val="Arial"/>
      <family val="2"/>
    </font>
    <font>
      <b/>
      <sz val="9"/>
      <name val="Arial"/>
      <family val="2"/>
    </font>
    <font>
      <b/>
      <sz val="11"/>
      <color theme="1"/>
      <name val="Biome"/>
      <family val="2"/>
    </font>
    <font>
      <sz val="11"/>
      <color theme="1"/>
      <name val="Biome"/>
      <family val="2"/>
    </font>
    <font>
      <b/>
      <sz val="9"/>
      <color indexed="81"/>
      <name val="Tahoma"/>
      <family val="2"/>
    </font>
    <font>
      <b/>
      <sz val="12"/>
      <color rgb="FFFFFFFF"/>
      <name val="Sakkal Majalla"/>
    </font>
    <font>
      <b/>
      <sz val="12"/>
      <color rgb="FF375623"/>
      <name val="Sakkal Majalla"/>
    </font>
    <font>
      <b/>
      <sz val="12"/>
      <color rgb="FF000000"/>
      <name val="Sakkal Majalla"/>
    </font>
    <font>
      <b/>
      <sz val="12"/>
      <color rgb="FFFF0000"/>
      <name val="Sakkal Majalla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375623"/>
        <bgColor rgb="FF333300"/>
      </patternFill>
    </fill>
    <fill>
      <patternFill patternType="solid">
        <fgColor rgb="FFFFF2CC"/>
        <bgColor rgb="FFFFF2EA"/>
      </patternFill>
    </fill>
    <fill>
      <patternFill patternType="solid">
        <fgColor rgb="FFE2EFDA"/>
        <bgColor rgb="FFE8F5E9"/>
      </patternFill>
    </fill>
    <fill>
      <patternFill patternType="solid">
        <fgColor rgb="FFE8F5E9"/>
        <bgColor rgb="FFEAF4FB"/>
      </patternFill>
    </fill>
    <fill>
      <patternFill patternType="solid">
        <fgColor rgb="FFFFFFFF"/>
        <bgColor rgb="FFFFF2EA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42">
    <xf numFmtId="0" fontId="0" fillId="0" borderId="0" xfId="0"/>
    <xf numFmtId="0" fontId="7" fillId="8" borderId="1" xfId="2" applyFont="1" applyFill="1" applyAlignment="1">
      <alignment horizontal="center" vertical="center"/>
    </xf>
    <xf numFmtId="9" fontId="8" fillId="2" borderId="1" xfId="1" applyFont="1" applyFill="1" applyBorder="1" applyAlignment="1">
      <alignment horizontal="center" vertical="center"/>
    </xf>
    <xf numFmtId="9" fontId="7" fillId="2" borderId="1" xfId="1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left" vertical="center" wrapText="1"/>
    </xf>
    <xf numFmtId="164" fontId="12" fillId="6" borderId="3" xfId="0" applyNumberFormat="1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left" vertical="center" wrapText="1"/>
    </xf>
    <xf numFmtId="164" fontId="12" fillId="7" borderId="3" xfId="0" applyNumberFormat="1" applyFont="1" applyFill="1" applyBorder="1" applyAlignment="1">
      <alignment horizontal="center" vertical="center" wrapText="1"/>
    </xf>
    <xf numFmtId="164" fontId="11" fillId="7" borderId="3" xfId="0" applyNumberFormat="1" applyFont="1" applyFill="1" applyBorder="1" applyAlignment="1">
      <alignment horizontal="center" vertical="center" wrapText="1"/>
    </xf>
    <xf numFmtId="164" fontId="13" fillId="6" borderId="3" xfId="0" applyNumberFormat="1" applyFont="1" applyFill="1" applyBorder="1" applyAlignment="1">
      <alignment horizontal="center" vertical="center" wrapText="1"/>
    </xf>
    <xf numFmtId="164" fontId="13" fillId="7" borderId="3" xfId="0" applyNumberFormat="1" applyFont="1" applyFill="1" applyBorder="1" applyAlignment="1">
      <alignment horizontal="center" vertical="center" wrapText="1"/>
    </xf>
    <xf numFmtId="0" fontId="8" fillId="2" borderId="1" xfId="2" applyFont="1" applyAlignment="1">
      <alignment horizontal="center" vertical="center"/>
    </xf>
    <xf numFmtId="0" fontId="8" fillId="2" borderId="12" xfId="2" applyFont="1" applyBorder="1" applyAlignment="1">
      <alignment horizontal="center" vertical="center"/>
    </xf>
    <xf numFmtId="0" fontId="8" fillId="2" borderId="13" xfId="2" applyFont="1" applyBorder="1" applyAlignment="1">
      <alignment horizontal="center" vertical="center"/>
    </xf>
    <xf numFmtId="0" fontId="7" fillId="2" borderId="1" xfId="2" applyFont="1" applyAlignment="1">
      <alignment horizontal="center"/>
    </xf>
    <xf numFmtId="0" fontId="7" fillId="8" borderId="1" xfId="2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 wrapText="1"/>
    </xf>
  </cellXfs>
  <cellStyles count="3">
    <cellStyle name="Normal" xfId="0" builtinId="0"/>
    <cellStyle name="Note" xfId="2" builtinId="1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https://fondogastronomico.blogspot.com/2012/12/lista-imposible-aceite-de-argan.html" TargetMode="External"/><Relationship Id="rId1" Type="http://schemas.openxmlformats.org/officeDocument/2006/relationships/image" Target="../media/image1.jp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hyperlink" Target="https://www.britannica.com/topic/argan-oi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22</xdr:row>
      <xdr:rowOff>22861</xdr:rowOff>
    </xdr:from>
    <xdr:to>
      <xdr:col>3</xdr:col>
      <xdr:colOff>561570</xdr:colOff>
      <xdr:row>30</xdr:row>
      <xdr:rowOff>83821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9506D170-D936-4733-876A-53D82D324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958340" y="5524501"/>
          <a:ext cx="1483590" cy="15316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22</xdr:row>
      <xdr:rowOff>83820</xdr:rowOff>
    </xdr:from>
    <xdr:to>
      <xdr:col>2</xdr:col>
      <xdr:colOff>1241</xdr:colOff>
      <xdr:row>28</xdr:row>
      <xdr:rowOff>160020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FC0EC912-C1DB-46DB-8424-23910CD77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266700" y="5585460"/>
          <a:ext cx="1654781" cy="1181100"/>
        </a:xfrm>
        <a:prstGeom prst="rect">
          <a:avLst/>
        </a:prstGeom>
      </xdr:spPr>
    </xdr:pic>
    <xdr:clientData/>
  </xdr:twoCellAnchor>
  <xdr:twoCellAnchor>
    <xdr:from>
      <xdr:col>9</xdr:col>
      <xdr:colOff>571500</xdr:colOff>
      <xdr:row>0</xdr:row>
      <xdr:rowOff>312420</xdr:rowOff>
    </xdr:from>
    <xdr:to>
      <xdr:col>14</xdr:col>
      <xdr:colOff>109249</xdr:colOff>
      <xdr:row>16</xdr:row>
      <xdr:rowOff>167640</xdr:rowOff>
    </xdr:to>
    <xdr:grpSp>
      <xdr:nvGrpSpPr>
        <xdr:cNvPr id="11" name="Groupe 10">
          <a:extLst>
            <a:ext uri="{FF2B5EF4-FFF2-40B4-BE49-F238E27FC236}">
              <a16:creationId xmlns:a16="http://schemas.microsoft.com/office/drawing/2014/main" id="{D0EB02C2-2D57-34D4-6036-923C51F098C9}"/>
            </a:ext>
          </a:extLst>
        </xdr:cNvPr>
        <xdr:cNvGrpSpPr/>
      </xdr:nvGrpSpPr>
      <xdr:grpSpPr>
        <a:xfrm>
          <a:off x="9395460" y="312420"/>
          <a:ext cx="3660169" cy="4099560"/>
          <a:chOff x="10134600" y="784860"/>
          <a:chExt cx="3660169" cy="4099560"/>
        </a:xfrm>
      </xdr:grpSpPr>
      <xdr:pic>
        <xdr:nvPicPr>
          <xdr:cNvPr id="7" name="Image 6">
            <a:extLst>
              <a:ext uri="{FF2B5EF4-FFF2-40B4-BE49-F238E27FC236}">
                <a16:creationId xmlns:a16="http://schemas.microsoft.com/office/drawing/2014/main" id="{5EF5E7B7-F3F9-8104-F6C7-47117CBE62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34600" y="784860"/>
            <a:ext cx="3660169" cy="2857500"/>
          </a:xfrm>
          <a:prstGeom prst="rect">
            <a:avLst/>
          </a:prstGeom>
          <a:ln>
            <a:solidFill>
              <a:srgbClr val="FF0000"/>
            </a:solidFill>
          </a:ln>
        </xdr:spPr>
      </xdr:pic>
      <xdr:pic>
        <xdr:nvPicPr>
          <xdr:cNvPr id="10" name="Image 9">
            <a:extLst>
              <a:ext uri="{FF2B5EF4-FFF2-40B4-BE49-F238E27FC236}">
                <a16:creationId xmlns:a16="http://schemas.microsoft.com/office/drawing/2014/main" id="{EC8A9D70-9A78-6FE8-660E-AA79A3E1E6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165081" y="3680460"/>
            <a:ext cx="3597462" cy="1203960"/>
          </a:xfrm>
          <a:prstGeom prst="rect">
            <a:avLst/>
          </a:prstGeom>
          <a:ln>
            <a:solidFill>
              <a:srgbClr val="FF0000"/>
            </a:solidFill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C9A57-FDA2-41F8-9608-E611021D37BC}">
  <dimension ref="A1:M32"/>
  <sheetViews>
    <sheetView showGridLines="0" tabSelected="1" topLeftCell="A5" zoomScaleNormal="100" workbookViewId="0">
      <selection activeCell="E17" sqref="E17:H24"/>
    </sheetView>
  </sheetViews>
  <sheetFormatPr baseColWidth="10" defaultColWidth="8.6640625" defaultRowHeight="14.4" x14ac:dyDescent="0.3"/>
  <cols>
    <col min="1" max="1" width="4" customWidth="1"/>
    <col min="2" max="2" width="24" customWidth="1"/>
    <col min="3" max="5" width="14" customWidth="1"/>
    <col min="6" max="6" width="18" customWidth="1"/>
    <col min="7" max="7" width="14" customWidth="1"/>
    <col min="8" max="8" width="18" customWidth="1"/>
    <col min="11" max="11" width="11.88671875" customWidth="1"/>
    <col min="12" max="12" width="18.21875" customWidth="1"/>
    <col min="13" max="13" width="12.6640625" bestFit="1" customWidth="1"/>
  </cols>
  <sheetData>
    <row r="1" spans="1:8" ht="36" customHeight="1" x14ac:dyDescent="0.3">
      <c r="A1" s="21" t="s">
        <v>0</v>
      </c>
      <c r="B1" s="21"/>
      <c r="C1" s="21"/>
      <c r="D1" s="21"/>
      <c r="E1" s="21"/>
      <c r="F1" s="21"/>
      <c r="G1" s="21"/>
      <c r="H1" s="21"/>
    </row>
    <row r="2" spans="1:8" ht="30" customHeight="1" x14ac:dyDescent="0.3">
      <c r="A2" s="22" t="s">
        <v>1</v>
      </c>
      <c r="B2" s="22"/>
      <c r="C2" s="22"/>
      <c r="D2" s="22"/>
      <c r="E2" s="22"/>
      <c r="F2" s="22"/>
      <c r="G2" s="22"/>
      <c r="H2" s="22"/>
    </row>
    <row r="3" spans="1:8" ht="27.75" customHeight="1" x14ac:dyDescent="0.3">
      <c r="A3" s="23" t="s">
        <v>2</v>
      </c>
      <c r="B3" s="23"/>
      <c r="C3" s="23"/>
      <c r="D3" s="23"/>
      <c r="E3" s="23"/>
      <c r="F3" s="23"/>
      <c r="G3" s="23"/>
      <c r="H3" s="23"/>
    </row>
    <row r="5" spans="1:8" ht="31.5" customHeight="1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ht="18" x14ac:dyDescent="0.3">
      <c r="A6" s="8">
        <v>1</v>
      </c>
      <c r="B6" s="9" t="s">
        <v>11</v>
      </c>
      <c r="C6" s="8" t="s">
        <v>12</v>
      </c>
      <c r="D6" s="5">
        <v>12</v>
      </c>
      <c r="E6" s="10">
        <v>350</v>
      </c>
      <c r="F6" s="14" t="s">
        <v>13</v>
      </c>
      <c r="G6" s="14" t="s">
        <v>13</v>
      </c>
      <c r="H6" s="14" t="s">
        <v>13</v>
      </c>
    </row>
    <row r="7" spans="1:8" ht="18" x14ac:dyDescent="0.3">
      <c r="A7" s="6">
        <v>2</v>
      </c>
      <c r="B7" s="11" t="s">
        <v>14</v>
      </c>
      <c r="C7" s="6" t="s">
        <v>15</v>
      </c>
      <c r="D7" s="6">
        <v>7</v>
      </c>
      <c r="E7" s="12">
        <v>350</v>
      </c>
      <c r="F7" s="15" t="s">
        <v>13</v>
      </c>
      <c r="G7" s="15" t="s">
        <v>13</v>
      </c>
      <c r="H7" s="15" t="s">
        <v>13</v>
      </c>
    </row>
    <row r="8" spans="1:8" ht="18" x14ac:dyDescent="0.3">
      <c r="A8" s="8">
        <v>3</v>
      </c>
      <c r="B8" s="9" t="s">
        <v>16</v>
      </c>
      <c r="C8" s="8" t="s">
        <v>17</v>
      </c>
      <c r="D8" s="5">
        <v>15</v>
      </c>
      <c r="E8" s="10">
        <v>350</v>
      </c>
      <c r="F8" s="14" t="s">
        <v>13</v>
      </c>
      <c r="G8" s="14" t="s">
        <v>13</v>
      </c>
      <c r="H8" s="14" t="s">
        <v>13</v>
      </c>
    </row>
    <row r="9" spans="1:8" ht="18" x14ac:dyDescent="0.3">
      <c r="A9" s="6">
        <v>4</v>
      </c>
      <c r="B9" s="11" t="s">
        <v>18</v>
      </c>
      <c r="C9" s="6" t="s">
        <v>19</v>
      </c>
      <c r="D9" s="6">
        <v>9</v>
      </c>
      <c r="E9" s="12">
        <v>350</v>
      </c>
      <c r="F9" s="15" t="s">
        <v>13</v>
      </c>
      <c r="G9" s="15" t="s">
        <v>13</v>
      </c>
      <c r="H9" s="15" t="s">
        <v>13</v>
      </c>
    </row>
    <row r="10" spans="1:8" ht="18" x14ac:dyDescent="0.3">
      <c r="A10" s="8">
        <v>5</v>
      </c>
      <c r="B10" s="9" t="s">
        <v>20</v>
      </c>
      <c r="C10" s="8" t="s">
        <v>21</v>
      </c>
      <c r="D10" s="5">
        <v>11</v>
      </c>
      <c r="E10" s="10">
        <v>350</v>
      </c>
      <c r="F10" s="14" t="s">
        <v>13</v>
      </c>
      <c r="G10" s="14" t="s">
        <v>13</v>
      </c>
      <c r="H10" s="14" t="s">
        <v>13</v>
      </c>
    </row>
    <row r="11" spans="1:8" ht="18" x14ac:dyDescent="0.3">
      <c r="A11" s="6">
        <v>6</v>
      </c>
      <c r="B11" s="11" t="s">
        <v>22</v>
      </c>
      <c r="C11" s="6" t="s">
        <v>12</v>
      </c>
      <c r="D11" s="6">
        <v>6</v>
      </c>
      <c r="E11" s="12">
        <v>350</v>
      </c>
      <c r="F11" s="15" t="s">
        <v>13</v>
      </c>
      <c r="G11" s="15" t="s">
        <v>13</v>
      </c>
      <c r="H11" s="15" t="s">
        <v>13</v>
      </c>
    </row>
    <row r="12" spans="1:8" ht="18" x14ac:dyDescent="0.3">
      <c r="A12" s="8">
        <v>7</v>
      </c>
      <c r="B12" s="9" t="s">
        <v>23</v>
      </c>
      <c r="C12" s="8" t="s">
        <v>17</v>
      </c>
      <c r="D12" s="5">
        <v>14</v>
      </c>
      <c r="E12" s="10">
        <v>350</v>
      </c>
      <c r="F12" s="14" t="s">
        <v>13</v>
      </c>
      <c r="G12" s="14" t="s">
        <v>13</v>
      </c>
      <c r="H12" s="14" t="s">
        <v>13</v>
      </c>
    </row>
    <row r="13" spans="1:8" ht="18" x14ac:dyDescent="0.3">
      <c r="A13" s="6">
        <v>8</v>
      </c>
      <c r="B13" s="11" t="s">
        <v>24</v>
      </c>
      <c r="C13" s="6" t="s">
        <v>15</v>
      </c>
      <c r="D13" s="7">
        <v>10</v>
      </c>
      <c r="E13" s="12">
        <v>350</v>
      </c>
      <c r="F13" s="15" t="s">
        <v>13</v>
      </c>
      <c r="G13" s="15" t="s">
        <v>13</v>
      </c>
      <c r="H13" s="15" t="s">
        <v>13</v>
      </c>
    </row>
    <row r="14" spans="1:8" ht="18" x14ac:dyDescent="0.3">
      <c r="A14" s="8">
        <v>9</v>
      </c>
      <c r="B14" s="9" t="s">
        <v>25</v>
      </c>
      <c r="C14" s="8" t="s">
        <v>21</v>
      </c>
      <c r="D14" s="8">
        <v>8</v>
      </c>
      <c r="E14" s="10">
        <v>350</v>
      </c>
      <c r="F14" s="14" t="s">
        <v>13</v>
      </c>
      <c r="G14" s="14" t="s">
        <v>13</v>
      </c>
      <c r="H14" s="14" t="s">
        <v>13</v>
      </c>
    </row>
    <row r="15" spans="1:8" ht="18" x14ac:dyDescent="0.3">
      <c r="A15" s="6">
        <v>10</v>
      </c>
      <c r="B15" s="11" t="s">
        <v>26</v>
      </c>
      <c r="C15" s="6" t="s">
        <v>19</v>
      </c>
      <c r="D15" s="7">
        <v>13</v>
      </c>
      <c r="E15" s="12">
        <v>350</v>
      </c>
      <c r="F15" s="15" t="s">
        <v>13</v>
      </c>
      <c r="G15" s="15" t="s">
        <v>13</v>
      </c>
      <c r="H15" s="15" t="s">
        <v>13</v>
      </c>
    </row>
    <row r="16" spans="1:8" ht="15" thickBot="1" x14ac:dyDescent="0.35"/>
    <row r="17" spans="1:13" ht="24" customHeight="1" x14ac:dyDescent="0.3">
      <c r="A17" s="24" t="s">
        <v>27</v>
      </c>
      <c r="B17" s="25"/>
      <c r="C17" s="25"/>
      <c r="D17" s="26"/>
      <c r="E17" s="27" t="s">
        <v>28</v>
      </c>
      <c r="F17" s="28"/>
      <c r="G17" s="28"/>
      <c r="H17" s="29"/>
    </row>
    <row r="18" spans="1:13" ht="15" customHeight="1" x14ac:dyDescent="0.3">
      <c r="A18" s="36" t="s">
        <v>29</v>
      </c>
      <c r="B18" s="37"/>
      <c r="C18" s="38"/>
      <c r="D18" s="8" t="s">
        <v>13</v>
      </c>
      <c r="E18" s="30"/>
      <c r="F18" s="31"/>
      <c r="G18" s="31"/>
      <c r="H18" s="32"/>
    </row>
    <row r="19" spans="1:13" ht="15" customHeight="1" x14ac:dyDescent="0.3">
      <c r="A19" s="39" t="s">
        <v>30</v>
      </c>
      <c r="B19" s="40"/>
      <c r="C19" s="41"/>
      <c r="D19" s="13" t="s">
        <v>13</v>
      </c>
      <c r="E19" s="30"/>
      <c r="F19" s="31"/>
      <c r="G19" s="31"/>
      <c r="H19" s="32"/>
    </row>
    <row r="20" spans="1:13" ht="15" customHeight="1" x14ac:dyDescent="0.3">
      <c r="A20" s="36" t="s">
        <v>31</v>
      </c>
      <c r="B20" s="37"/>
      <c r="C20" s="38"/>
      <c r="D20" s="8" t="s">
        <v>13</v>
      </c>
      <c r="E20" s="30"/>
      <c r="F20" s="31"/>
      <c r="G20" s="31"/>
      <c r="H20" s="32"/>
    </row>
    <row r="21" spans="1:13" ht="15" customHeight="1" x14ac:dyDescent="0.3">
      <c r="A21" s="39" t="s">
        <v>32</v>
      </c>
      <c r="B21" s="40"/>
      <c r="C21" s="41"/>
      <c r="D21" s="7" t="s">
        <v>13</v>
      </c>
      <c r="E21" s="30"/>
      <c r="F21" s="31"/>
      <c r="G21" s="31"/>
      <c r="H21" s="32"/>
    </row>
    <row r="22" spans="1:13" ht="15" customHeight="1" x14ac:dyDescent="0.3">
      <c r="A22" s="36" t="s">
        <v>33</v>
      </c>
      <c r="B22" s="37"/>
      <c r="C22" s="38"/>
      <c r="D22" s="8" t="s">
        <v>13</v>
      </c>
      <c r="E22" s="30"/>
      <c r="F22" s="31"/>
      <c r="G22" s="31"/>
      <c r="H22" s="32"/>
    </row>
    <row r="23" spans="1:13" x14ac:dyDescent="0.3">
      <c r="E23" s="30"/>
      <c r="F23" s="31"/>
      <c r="G23" s="31"/>
      <c r="H23" s="32"/>
      <c r="K23" s="20" t="s">
        <v>34</v>
      </c>
      <c r="L23" s="20"/>
      <c r="M23" s="1" t="s">
        <v>35</v>
      </c>
    </row>
    <row r="24" spans="1:13" ht="15" thickBot="1" x14ac:dyDescent="0.35">
      <c r="E24" s="33"/>
      <c r="F24" s="34"/>
      <c r="G24" s="34"/>
      <c r="H24" s="35"/>
      <c r="K24" s="16" t="s">
        <v>8</v>
      </c>
      <c r="L24" s="16"/>
      <c r="M24" s="2">
        <f>IF(AND(_xlfn.ISFORMULA(F6),F6=D6*E6),20%,0)</f>
        <v>0</v>
      </c>
    </row>
    <row r="25" spans="1:13" x14ac:dyDescent="0.3">
      <c r="K25" s="16" t="s">
        <v>9</v>
      </c>
      <c r="L25" s="16"/>
      <c r="M25" s="2">
        <f>IF(AND(_xlfn.ISFORMULA(G6),G6=(IF(D6&gt;=10,50,0))),20%,0)</f>
        <v>0</v>
      </c>
    </row>
    <row r="26" spans="1:13" x14ac:dyDescent="0.3">
      <c r="K26" s="16" t="s">
        <v>10</v>
      </c>
      <c r="L26" s="16"/>
      <c r="M26" s="2">
        <f>IFERROR(IF(AND(_xlfn.ISFORMULA(H6),H6=F6+G6),20%,0),0)</f>
        <v>0</v>
      </c>
    </row>
    <row r="27" spans="1:13" x14ac:dyDescent="0.3">
      <c r="K27" s="16" t="s">
        <v>29</v>
      </c>
      <c r="L27" s="16"/>
      <c r="M27" s="2">
        <f>IF(AND(_xlfn.ISFORMULA(D18),D18=SUM(D6:D15)),10%,0)</f>
        <v>0</v>
      </c>
    </row>
    <row r="28" spans="1:13" x14ac:dyDescent="0.3">
      <c r="K28" s="16" t="s">
        <v>30</v>
      </c>
      <c r="L28" s="16"/>
      <c r="M28" s="2">
        <f>IFERROR(IF(AND(_xlfn.ISFORMULA(D19),D19=SUM(H6:H15)),10%,0),0)</f>
        <v>0</v>
      </c>
    </row>
    <row r="29" spans="1:13" x14ac:dyDescent="0.3">
      <c r="K29" s="16" t="s">
        <v>31</v>
      </c>
      <c r="L29" s="16"/>
      <c r="M29" s="2">
        <f>IF(AND(_xlfn.ISFORMULA(D20),D20=MAX(D6:D15)),10%,0)</f>
        <v>0</v>
      </c>
    </row>
    <row r="30" spans="1:13" x14ac:dyDescent="0.3">
      <c r="K30" s="16" t="s">
        <v>32</v>
      </c>
      <c r="L30" s="16"/>
      <c r="M30" s="2">
        <f>IF(AND(_xlfn.ISFORMULA(D21),D21=MIN(D6:D15)),10%,0)</f>
        <v>0</v>
      </c>
    </row>
    <row r="31" spans="1:13" x14ac:dyDescent="0.3">
      <c r="K31" s="17" t="s">
        <v>33</v>
      </c>
      <c r="L31" s="18"/>
      <c r="M31" s="2">
        <f>IF(AND(_xlfn.ISFORMULA(D22),D22=COUNT(D6:D15)),10%,0)</f>
        <v>0</v>
      </c>
    </row>
    <row r="32" spans="1:13" x14ac:dyDescent="0.3">
      <c r="K32" s="19" t="s">
        <v>36</v>
      </c>
      <c r="L32" s="19"/>
      <c r="M32" s="3">
        <f>SUM(M24:M30)</f>
        <v>0</v>
      </c>
    </row>
  </sheetData>
  <mergeCells count="20">
    <mergeCell ref="A1:H1"/>
    <mergeCell ref="A2:H2"/>
    <mergeCell ref="A3:H3"/>
    <mergeCell ref="A17:D17"/>
    <mergeCell ref="E17:H24"/>
    <mergeCell ref="A18:C18"/>
    <mergeCell ref="A19:C19"/>
    <mergeCell ref="A20:C20"/>
    <mergeCell ref="A21:C21"/>
    <mergeCell ref="A22:C22"/>
    <mergeCell ref="K29:L29"/>
    <mergeCell ref="K30:L30"/>
    <mergeCell ref="K31:L31"/>
    <mergeCell ref="K32:L32"/>
    <mergeCell ref="K23:L23"/>
    <mergeCell ref="K24:L24"/>
    <mergeCell ref="K25:L25"/>
    <mergeCell ref="K26:L26"/>
    <mergeCell ref="K27:L27"/>
    <mergeCell ref="K28:L28"/>
  </mergeCells>
  <conditionalFormatting sqref="M24:M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{1005E0B4-B28C-4D28-833F-717093B52A1F}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05E0B4-B28C-4D28-833F-717093B52A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M24:M32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🌿 Coopérative Argan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ABDELLAH.TAHTOH</dc:creator>
  <cp:lastModifiedBy>ABDELLAH.TAHTOH</cp:lastModifiedBy>
  <dcterms:created xsi:type="dcterms:W3CDTF">2026-02-22T22:33:27Z</dcterms:created>
  <dcterms:modified xsi:type="dcterms:W3CDTF">2026-02-22T23:02:43Z</dcterms:modified>
</cp:coreProperties>
</file>