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to\OneDrive\Documents\GitHub\u3\TP2026\"/>
    </mc:Choice>
  </mc:AlternateContent>
  <xr:revisionPtr revIDLastSave="0" documentId="13_ncr:1_{3A779350-15B8-41F0-8C0D-C7C1F621FF80}" xr6:coauthVersionLast="47" xr6:coauthVersionMax="47" xr10:uidLastSave="{00000000-0000-0000-0000-000000000000}"/>
  <bookViews>
    <workbookView xWindow="-108" yWindow="-108" windowWidth="23256" windowHeight="12456" xr2:uid="{77D2F8F8-3EAB-4FD5-8A99-8A7B70AECDED}"/>
  </bookViews>
  <sheets>
    <sheet name="Exercices de Révision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2" l="1"/>
  <c r="D127" i="2"/>
  <c r="D126" i="2"/>
  <c r="D122" i="2"/>
  <c r="D121" i="2"/>
  <c r="D116" i="2"/>
  <c r="D124" i="2"/>
  <c r="D123" i="2"/>
  <c r="D130" i="2"/>
  <c r="D129" i="2"/>
  <c r="D128" i="2"/>
  <c r="D125" i="2"/>
  <c r="D109" i="2"/>
  <c r="D110" i="2"/>
  <c r="C110" i="2"/>
  <c r="C109" i="2"/>
  <c r="E135" i="2"/>
  <c r="C132" i="2"/>
  <c r="C131" i="2"/>
  <c r="C130" i="2"/>
  <c r="C127" i="2"/>
  <c r="C128" i="2"/>
  <c r="C129" i="2"/>
  <c r="C126" i="2"/>
  <c r="C125" i="2"/>
  <c r="C122" i="2"/>
  <c r="C123" i="2"/>
  <c r="C124" i="2"/>
  <c r="C121" i="2"/>
  <c r="C120" i="2"/>
  <c r="C117" i="2"/>
  <c r="C119" i="2"/>
  <c r="C118" i="2"/>
  <c r="C116" i="2"/>
  <c r="C115" i="2"/>
  <c r="C114" i="2"/>
  <c r="H4" i="2"/>
  <c r="D115" i="2" l="1"/>
  <c r="D114" i="2"/>
  <c r="D117" i="2"/>
  <c r="D120" i="2"/>
  <c r="D132" i="2"/>
  <c r="D119" i="2" l="1"/>
  <c r="D118" i="2"/>
  <c r="D135" i="2" l="1"/>
  <c r="H5" i="2" s="1"/>
</calcChain>
</file>

<file path=xl/sharedStrings.xml><?xml version="1.0" encoding="utf-8"?>
<sst xmlns="http://schemas.openxmlformats.org/spreadsheetml/2006/main" count="175" uniqueCount="129">
  <si>
    <t>Montant (DH) = Prix unitaire (DH) * Quantité</t>
  </si>
  <si>
    <t>Catégorie</t>
  </si>
  <si>
    <t>Quantité</t>
  </si>
  <si>
    <t>Prix unitaire</t>
  </si>
  <si>
    <t>Total</t>
  </si>
  <si>
    <t>Légumes</t>
  </si>
  <si>
    <t>Fruits</t>
  </si>
  <si>
    <t>Viande</t>
  </si>
  <si>
    <t>Poisson</t>
  </si>
  <si>
    <t>Pain</t>
  </si>
  <si>
    <t>Produits laitiers</t>
  </si>
  <si>
    <t>Boissons</t>
  </si>
  <si>
    <t>BUDGET TOTAL</t>
  </si>
  <si>
    <t>Moyenne = (Note 1 + Note 2 + Note 3) /3</t>
  </si>
  <si>
    <t>Matière</t>
  </si>
  <si>
    <t>Note 1</t>
  </si>
  <si>
    <t>Note 2</t>
  </si>
  <si>
    <t>Note 3</t>
  </si>
  <si>
    <t>Moyenne</t>
  </si>
  <si>
    <t>Mathématiques</t>
  </si>
  <si>
    <t>Français</t>
  </si>
  <si>
    <t>Anglais</t>
  </si>
  <si>
    <t>Physique</t>
  </si>
  <si>
    <t>Histoire</t>
  </si>
  <si>
    <t>Prix final = Prix initial - Économie</t>
  </si>
  <si>
    <t>Article</t>
  </si>
  <si>
    <t>Prix initial</t>
  </si>
  <si>
    <t>Réduction %</t>
  </si>
  <si>
    <t>Économie</t>
  </si>
  <si>
    <t>Prix final</t>
  </si>
  <si>
    <t>T-shirt</t>
  </si>
  <si>
    <t>Jean</t>
  </si>
  <si>
    <t>Veste</t>
  </si>
  <si>
    <t>Chaussures</t>
  </si>
  <si>
    <t>Jour</t>
  </si>
  <si>
    <t>Ventes (DH)</t>
  </si>
  <si>
    <t>Analyse</t>
  </si>
  <si>
    <t>Valeur</t>
  </si>
  <si>
    <t>Lundi</t>
  </si>
  <si>
    <t>Vente MAX</t>
  </si>
  <si>
    <t>Mardi</t>
  </si>
  <si>
    <t>Vente MIN</t>
  </si>
  <si>
    <t>Mercredi</t>
  </si>
  <si>
    <t>Vente moyenne</t>
  </si>
  <si>
    <t>Jeudi</t>
  </si>
  <si>
    <t>Total semaine</t>
  </si>
  <si>
    <t>Vendredi</t>
  </si>
  <si>
    <t>Samedi</t>
  </si>
  <si>
    <t>Dimanche</t>
  </si>
  <si>
    <t>Complète le tableau avec les formules appropriées :</t>
  </si>
  <si>
    <t>Équipe</t>
  </si>
  <si>
    <t>Victoires</t>
  </si>
  <si>
    <t>Nuls</t>
  </si>
  <si>
    <t>Défaites</t>
  </si>
  <si>
    <t>Points</t>
  </si>
  <si>
    <t>Raja</t>
  </si>
  <si>
    <t>Wydad</t>
  </si>
  <si>
    <t>FUS</t>
  </si>
  <si>
    <t>IRT</t>
  </si>
  <si>
    <t>HUSA</t>
  </si>
  <si>
    <t>EXERCICE 6 : Statistiques Joueur (5 points)</t>
  </si>
  <si>
    <t>Voici les performances d'un joueur sur 7 matchs. Complète l'analyse :</t>
  </si>
  <si>
    <t>Match</t>
  </si>
  <si>
    <t>Buts marqués</t>
  </si>
  <si>
    <t>Match 1</t>
  </si>
  <si>
    <t>Total buts</t>
  </si>
  <si>
    <t>Match 2</t>
  </si>
  <si>
    <t>Moyenne buts/match</t>
  </si>
  <si>
    <t>Match 3</t>
  </si>
  <si>
    <t>Match 4</t>
  </si>
  <si>
    <t>Match 5</t>
  </si>
  <si>
    <t>Nombre de matchs</t>
  </si>
  <si>
    <t>Match 6</t>
  </si>
  <si>
    <t>Match 7</t>
  </si>
  <si>
    <t>Un coureur s'entraîne sur 5 semaines. Complète le tableau :</t>
  </si>
  <si>
    <t>Semaine</t>
  </si>
  <si>
    <t>Distance (km)</t>
  </si>
  <si>
    <t>Temps (min)</t>
  </si>
  <si>
    <t>Vitesse (km/h)</t>
  </si>
  <si>
    <t>S1</t>
  </si>
  <si>
    <t>S2</t>
  </si>
  <si>
    <t>S3</t>
  </si>
  <si>
    <t>S4</t>
  </si>
  <si>
    <t>S5</t>
  </si>
  <si>
    <t>TOTAL</t>
  </si>
  <si>
    <t>Un club organise un tournoi de football :
- 12 équipes participent
- Frais d'inscription : 500 DH par équipe
- Coûts organisat° : 3000 DH (terrain, arbitres, trophées)
Calcule le bénéfice du club.</t>
  </si>
  <si>
    <t>ينظّم نادٍ بطولة لكرة القدم:
- 12 فريقًا مشاركا
- رسوم التسجيل: 500 درهم لكل فريق
- تكاليف التنظيم: 3000 درهم (الملعب، الحكّام، الكؤوس)
ارسم جدولا يلخص المسألة واحسب ربح النادي.</t>
  </si>
  <si>
    <t>Tableau à créer :</t>
  </si>
  <si>
    <t>🎮 Exercices de Révision - COMPÉTENCE C12</t>
  </si>
  <si>
    <t>Nom et Prénom :</t>
  </si>
  <si>
    <t>_______________________________</t>
  </si>
  <si>
    <t>Date :</t>
  </si>
  <si>
    <t>Classe :</t>
  </si>
  <si>
    <t>Note :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</si>
  <si>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</si>
  <si>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</si>
  <si>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</si>
  <si>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</si>
  <si>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</si>
  <si>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</si>
  <si>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</si>
  <si>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</si>
  <si>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</si>
  <si>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EXERCICE 1 : Facture Restaurant (Formules de base)(2 points)</t>
  </si>
  <si>
    <t>EXERCICE 3 : Shopping avec Réductions (Pourcentages)(3 points)</t>
  </si>
  <si>
    <t>EXERCICE 4 : Analyse Ventes (MAX, MIN, MOYENNE, SOMME)(4 points)</t>
  </si>
  <si>
    <t>EXERCICE 8 : Problème - Tournoi (2 points)</t>
  </si>
  <si>
    <t>EXERCICE 5 : Classement Championnat (1 points)</t>
  </si>
  <si>
    <t>EXERCICE 7 : Course à Pied (2 points)</t>
  </si>
  <si>
    <t>Réservée au correction automatique</t>
  </si>
  <si>
    <t>Question</t>
  </si>
  <si>
    <t>Ex 1</t>
  </si>
  <si>
    <t>Ex 2</t>
  </si>
  <si>
    <t>Ex 3</t>
  </si>
  <si>
    <t>Note final</t>
  </si>
  <si>
    <t xml:space="preserve">TOTAL </t>
  </si>
  <si>
    <t>Ex 4</t>
  </si>
  <si>
    <t>Ex 5</t>
  </si>
  <si>
    <t>Ex 6</t>
  </si>
  <si>
    <t>Ex 7</t>
  </si>
  <si>
    <t>Ex 8</t>
  </si>
  <si>
    <t>EXERCICE 2 : Moyennes Scolaires (Fonction Moyenne)(1 points)</t>
  </si>
  <si>
    <t>Note obtenue</t>
  </si>
  <si>
    <t xml:space="preserve"> Problème - Tournoi</t>
  </si>
  <si>
    <t>Économie = Prix initial * Réduction % /100</t>
  </si>
  <si>
    <t>Victoire = 3 points ; Nul = 1 point ; Défaite = 0 point</t>
  </si>
  <si>
    <t>Meilleure performance</t>
  </si>
  <si>
    <t>Plus mauvaise performance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</si>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</sst>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b/>
      <sz val="12"/>
      <color rgb="FFC62828"/>
      <name val="Cambria"/>
      <family val="1"/>
    </font>
    <font>
      <b/>
      <sz val="11"/>
      <color rgb="FF000000"/>
      <name val="Calibri"/>
      <family val="2"/>
    </font>
    <font>
      <b/>
      <sz val="11"/>
      <color rgb="FFFFFFFF"/>
      <name val="Cambria"/>
      <family val="1"/>
    </font>
    <font>
      <sz val="11"/>
      <color rgb="FFFF0000"/>
      <name val="Calibri"/>
      <family val="2"/>
      <charset val="1"/>
    </font>
    <font>
      <b/>
      <sz val="11"/>
      <name val="Cambria"/>
      <family val="1"/>
    </font>
    <font>
      <b/>
      <sz val="11"/>
      <color rgb="FFFF0000"/>
      <name val="Cambria"/>
      <family val="1"/>
    </font>
    <font>
      <i/>
      <sz val="10"/>
      <name val="Cambria"/>
      <family val="1"/>
    </font>
    <font>
      <sz val="12"/>
      <name val="Cambria"/>
      <family val="1"/>
    </font>
    <font>
      <b/>
      <sz val="14"/>
      <name val="Sakkal Majalla"/>
    </font>
    <font>
      <b/>
      <sz val="10"/>
      <name val="Cambria"/>
      <family val="1"/>
    </font>
    <font>
      <b/>
      <sz val="11"/>
      <color theme="1"/>
      <name val="Aptos Narrow"/>
      <family val="2"/>
      <scheme val="minor"/>
    </font>
    <font>
      <b/>
      <sz val="16"/>
      <color rgb="FF2D1B4E"/>
      <name val="Cambria"/>
      <family val="1"/>
    </font>
    <font>
      <b/>
      <sz val="12"/>
      <color theme="1"/>
      <name val="Sakkal Majalla"/>
    </font>
    <font>
      <sz val="8"/>
      <name val="Calibri"/>
      <family val="2"/>
      <charset val="1"/>
    </font>
    <font>
      <b/>
      <sz val="14"/>
      <color theme="1"/>
      <name val="Sakkal Majalla"/>
    </font>
    <font>
      <b/>
      <sz val="24"/>
      <color theme="1"/>
      <name val="Sakkal Majalla"/>
    </font>
    <font>
      <sz val="14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0F2F1"/>
      </patternFill>
    </fill>
    <fill>
      <patternFill patternType="solid">
        <fgColor rgb="FFE8F5E9"/>
        <bgColor rgb="FFE0F2F1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9E6"/>
        <bgColor rgb="FFFFF3E0"/>
      </patternFill>
    </fill>
    <fill>
      <patternFill patternType="solid">
        <fgColor rgb="FFC62828"/>
        <bgColor rgb="FF99336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2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4" fontId="0" fillId="0" borderId="0" xfId="0" applyNumberForma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49" fontId="0" fillId="0" borderId="0" xfId="0" applyNumberFormat="1" applyProtection="1"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6" fillId="6" borderId="1" xfId="0" applyFont="1" applyFill="1" applyBorder="1" applyAlignment="1" applyProtection="1">
      <alignment horizontal="center"/>
      <protection locked="0"/>
    </xf>
    <xf numFmtId="0" fontId="6" fillId="6" borderId="1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8" borderId="1" xfId="0" applyFill="1" applyBorder="1" applyProtection="1">
      <protection locked="0"/>
    </xf>
    <xf numFmtId="0" fontId="4" fillId="8" borderId="1" xfId="0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4" fillId="8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2" fontId="4" fillId="6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10" fillId="0" borderId="0" xfId="0" applyFont="1" applyProtection="1">
      <protection locked="0"/>
    </xf>
    <xf numFmtId="0" fontId="0" fillId="10" borderId="0" xfId="0" applyFill="1" applyProtection="1">
      <protection locked="0"/>
    </xf>
    <xf numFmtId="0" fontId="0" fillId="0" borderId="0" xfId="0" applyProtection="1">
      <protection hidden="1"/>
    </xf>
    <xf numFmtId="0" fontId="17" fillId="0" borderId="0" xfId="0" applyFont="1" applyProtection="1">
      <protection hidden="1"/>
    </xf>
    <xf numFmtId="0" fontId="13" fillId="11" borderId="2" xfId="0" applyFont="1" applyFill="1" applyBorder="1" applyAlignment="1" applyProtection="1">
      <alignment horizontal="center" vertical="center" wrapText="1"/>
      <protection hidden="1"/>
    </xf>
    <xf numFmtId="0" fontId="13" fillId="11" borderId="2" xfId="0" applyFont="1" applyFill="1" applyBorder="1" applyAlignment="1" applyProtection="1">
      <alignment vertical="center" wrapText="1"/>
      <protection hidden="1"/>
    </xf>
    <xf numFmtId="0" fontId="11" fillId="2" borderId="2" xfId="0" applyFont="1" applyFill="1" applyBorder="1" applyAlignment="1" applyProtection="1">
      <alignment horizontal="center" vertical="center" textRotation="90"/>
      <protection hidden="1"/>
    </xf>
    <xf numFmtId="0" fontId="13" fillId="12" borderId="2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11" fillId="2" borderId="14" xfId="0" applyFont="1" applyFill="1" applyBorder="1" applyAlignment="1" applyProtection="1">
      <alignment horizontal="center" vertical="center" textRotation="90"/>
      <protection hidden="1"/>
    </xf>
    <xf numFmtId="2" fontId="13" fillId="12" borderId="2" xfId="0" applyNumberFormat="1" applyFont="1" applyFill="1" applyBorder="1" applyAlignment="1" applyProtection="1">
      <alignment horizontal="center" vertical="center"/>
      <protection hidden="1"/>
    </xf>
    <xf numFmtId="0" fontId="16" fillId="11" borderId="2" xfId="0" applyFont="1" applyFill="1" applyBorder="1" applyAlignment="1" applyProtection="1">
      <alignment horizontal="center" vertical="center"/>
      <protection hidden="1"/>
    </xf>
    <xf numFmtId="0" fontId="16" fillId="13" borderId="17" xfId="0" applyFont="1" applyFill="1" applyBorder="1" applyAlignment="1" applyProtection="1">
      <alignment horizontal="right" vertical="center"/>
      <protection hidden="1"/>
    </xf>
    <xf numFmtId="0" fontId="16" fillId="13" borderId="18" xfId="0" applyFont="1" applyFill="1" applyBorder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center" vertical="center" textRotation="90"/>
      <protection hidden="1"/>
    </xf>
    <xf numFmtId="2" fontId="13" fillId="12" borderId="2" xfId="0" applyNumberFormat="1" applyFont="1" applyFill="1" applyBorder="1" applyAlignment="1" applyProtection="1">
      <alignment horizontal="center" vertical="center"/>
      <protection hidden="1"/>
    </xf>
    <xf numFmtId="0" fontId="15" fillId="11" borderId="17" xfId="0" applyFont="1" applyFill="1" applyBorder="1" applyAlignment="1" applyProtection="1">
      <alignment horizontal="center" vertical="center" wrapText="1"/>
      <protection hidden="1"/>
    </xf>
    <xf numFmtId="0" fontId="15" fillId="11" borderId="19" xfId="0" applyFont="1" applyFill="1" applyBorder="1" applyAlignment="1" applyProtection="1">
      <alignment horizontal="center" vertical="center" wrapText="1"/>
      <protection hidden="1"/>
    </xf>
    <xf numFmtId="0" fontId="15" fillId="11" borderId="18" xfId="0" applyFont="1" applyFill="1" applyBorder="1" applyAlignment="1" applyProtection="1">
      <alignment horizontal="center" vertical="center" wrapText="1"/>
      <protection hidden="1"/>
    </xf>
    <xf numFmtId="0" fontId="11" fillId="2" borderId="14" xfId="0" applyFont="1" applyFill="1" applyBorder="1" applyAlignment="1" applyProtection="1">
      <alignment horizontal="center" vertical="center" textRotation="90"/>
      <protection hidden="1"/>
    </xf>
    <xf numFmtId="0" fontId="11" fillId="2" borderId="15" xfId="0" applyFont="1" applyFill="1" applyBorder="1" applyAlignment="1" applyProtection="1">
      <alignment horizontal="center" vertical="center" textRotation="90"/>
      <protection hidden="1"/>
    </xf>
    <xf numFmtId="0" fontId="11" fillId="2" borderId="16" xfId="0" applyFont="1" applyFill="1" applyBorder="1" applyAlignment="1" applyProtection="1">
      <alignment horizontal="center" vertical="center" textRotation="90"/>
      <protection hidden="1"/>
    </xf>
    <xf numFmtId="0" fontId="1" fillId="2" borderId="0" xfId="0" applyFont="1" applyFill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7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5" fillId="6" borderId="1" xfId="0" applyFont="1" applyFill="1" applyBorder="1" applyAlignment="1" applyProtection="1">
      <alignment horizontal="center"/>
      <protection locked="0"/>
    </xf>
    <xf numFmtId="0" fontId="5" fillId="6" borderId="11" xfId="0" applyFont="1" applyFill="1" applyBorder="1" applyAlignment="1" applyProtection="1">
      <alignment horizontal="center"/>
      <protection locked="0"/>
    </xf>
    <xf numFmtId="0" fontId="5" fillId="6" borderId="12" xfId="0" applyFont="1" applyFill="1" applyBorder="1" applyAlignment="1" applyProtection="1">
      <alignment horizontal="center"/>
      <protection locked="0"/>
    </xf>
    <xf numFmtId="0" fontId="5" fillId="6" borderId="11" xfId="0" applyFont="1" applyFill="1" applyBorder="1" applyAlignment="1" applyProtection="1">
      <alignment horizontal="center" vertical="center"/>
      <protection locked="0"/>
    </xf>
    <xf numFmtId="0" fontId="5" fillId="6" borderId="12" xfId="0" applyFont="1" applyFill="1" applyBorder="1" applyAlignment="1" applyProtection="1">
      <alignment horizontal="center" vertical="center"/>
      <protection locked="0"/>
    </xf>
    <xf numFmtId="0" fontId="5" fillId="6" borderId="13" xfId="0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1" fillId="2" borderId="0" xfId="0" applyFont="1" applyFill="1" applyProtection="1"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0" fontId="9" fillId="5" borderId="3" xfId="0" applyFont="1" applyFill="1" applyBorder="1" applyAlignment="1" applyProtection="1">
      <alignment horizontal="right" vertical="center" wrapText="1"/>
      <protection locked="0"/>
    </xf>
    <xf numFmtId="0" fontId="9" fillId="5" borderId="4" xfId="0" applyFont="1" applyFill="1" applyBorder="1" applyAlignment="1" applyProtection="1">
      <alignment horizontal="right" vertical="center" wrapText="1"/>
      <protection locked="0"/>
    </xf>
    <xf numFmtId="0" fontId="9" fillId="5" borderId="5" xfId="0" applyFont="1" applyFill="1" applyBorder="1" applyAlignment="1" applyProtection="1">
      <alignment horizontal="right" vertical="center" wrapText="1"/>
      <protection locked="0"/>
    </xf>
    <xf numFmtId="0" fontId="9" fillId="5" borderId="6" xfId="0" applyFont="1" applyFill="1" applyBorder="1" applyAlignment="1" applyProtection="1">
      <alignment horizontal="right" vertical="center" wrapText="1"/>
      <protection locked="0"/>
    </xf>
    <xf numFmtId="0" fontId="9" fillId="5" borderId="0" xfId="0" applyFont="1" applyFill="1" applyAlignment="1" applyProtection="1">
      <alignment horizontal="right" vertical="center" wrapText="1"/>
      <protection locked="0"/>
    </xf>
    <xf numFmtId="0" fontId="9" fillId="5" borderId="7" xfId="0" applyFont="1" applyFill="1" applyBorder="1" applyAlignment="1" applyProtection="1">
      <alignment horizontal="right" vertical="center" wrapText="1"/>
      <protection locked="0"/>
    </xf>
    <xf numFmtId="0" fontId="9" fillId="5" borderId="8" xfId="0" applyFont="1" applyFill="1" applyBorder="1" applyAlignment="1" applyProtection="1">
      <alignment horizontal="right" vertical="center" wrapText="1"/>
      <protection locked="0"/>
    </xf>
    <xf numFmtId="0" fontId="9" fillId="5" borderId="9" xfId="0" applyFont="1" applyFill="1" applyBorder="1" applyAlignment="1" applyProtection="1">
      <alignment horizontal="right" vertical="center" wrapText="1"/>
      <protection locked="0"/>
    </xf>
    <xf numFmtId="0" fontId="9" fillId="5" borderId="10" xfId="0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335280</xdr:colOff>
      <xdr:row>20</xdr:row>
      <xdr:rowOff>179070</xdr:rowOff>
    </xdr:from>
    <xdr:to>
      <xdr:col>13</xdr:col>
      <xdr:colOff>555413</xdr:colOff>
      <xdr:row>27</xdr:row>
      <xdr:rowOff>60960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39D1594-7A17-447F-B13A-4A8D6F15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4232910"/>
          <a:ext cx="4906433" cy="1162050"/>
        </a:xfrm>
        <a:prstGeom prst="rect">
          <a:avLst/>
        </a:prstGeom>
      </xdr:spPr>
    </xdr:pic>
    <xdr:clientData/>
  </xdr:twoCellAnchor>
  <xdr:twoCellAnchor editAs="oneCell">
    <xdr:from>
      <xdr:col>7</xdr:col>
      <xdr:colOff>403860</xdr:colOff>
      <xdr:row>41</xdr:row>
      <xdr:rowOff>99060</xdr:rowOff>
    </xdr:from>
    <xdr:to>
      <xdr:col>9</xdr:col>
      <xdr:colOff>739140</xdr:colOff>
      <xdr:row>47</xdr:row>
      <xdr:rowOff>26154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5406A52-9E91-43B7-8E10-A83EBD293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1195"/>
        <a:stretch>
          <a:fillRect/>
        </a:stretch>
      </xdr:blipFill>
      <xdr:spPr>
        <a:xfrm>
          <a:off x="6416040" y="8176260"/>
          <a:ext cx="1798320" cy="1024374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304801</xdr:colOff>
      <xdr:row>53</xdr:row>
      <xdr:rowOff>175260</xdr:rowOff>
    </xdr:from>
    <xdr:to>
      <xdr:col>14</xdr:col>
      <xdr:colOff>327661</xdr:colOff>
      <xdr:row>60</xdr:row>
      <xdr:rowOff>67683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DEB5CF7-B580-40F1-962D-988CA945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6981" y="10538460"/>
          <a:ext cx="4983480" cy="1172583"/>
        </a:xfrm>
        <a:prstGeom prst="rect">
          <a:avLst/>
        </a:prstGeom>
      </xdr:spPr>
    </xdr:pic>
    <xdr:clientData/>
  </xdr:twoCellAnchor>
  <xdr:twoCellAnchor editAs="oneCell">
    <xdr:from>
      <xdr:col>5</xdr:col>
      <xdr:colOff>464820</xdr:colOff>
      <xdr:row>8</xdr:row>
      <xdr:rowOff>15240</xdr:rowOff>
    </xdr:from>
    <xdr:to>
      <xdr:col>12</xdr:col>
      <xdr:colOff>77493</xdr:colOff>
      <xdr:row>16</xdr:row>
      <xdr:rowOff>129540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7214DF2-6685-4A48-B09F-CE2515E1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27320" y="1783080"/>
          <a:ext cx="3788433" cy="1577340"/>
        </a:xfrm>
        <a:prstGeom prst="rect">
          <a:avLst/>
        </a:prstGeom>
      </xdr:spPr>
    </xdr:pic>
    <xdr:clientData/>
  </xdr:twoCellAnchor>
  <xdr:twoCellAnchor editAs="oneCell">
    <xdr:from>
      <xdr:col>7</xdr:col>
      <xdr:colOff>7621</xdr:colOff>
      <xdr:row>30</xdr:row>
      <xdr:rowOff>160020</xdr:rowOff>
    </xdr:from>
    <xdr:to>
      <xdr:col>14</xdr:col>
      <xdr:colOff>107061</xdr:colOff>
      <xdr:row>37</xdr:row>
      <xdr:rowOff>38100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BA74325-4979-5A29-873E-1B9957A8E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19801" y="6134100"/>
          <a:ext cx="5060060" cy="1158240"/>
        </a:xfrm>
        <a:prstGeom prst="rect">
          <a:avLst/>
        </a:prstGeom>
      </xdr:spPr>
    </xdr:pic>
    <xdr:clientData/>
  </xdr:twoCellAnchor>
  <xdr:twoCellAnchor editAs="oneCell">
    <xdr:from>
      <xdr:col>6</xdr:col>
      <xdr:colOff>510540</xdr:colOff>
      <xdr:row>63</xdr:row>
      <xdr:rowOff>117944</xdr:rowOff>
    </xdr:from>
    <xdr:to>
      <xdr:col>14</xdr:col>
      <xdr:colOff>498318</xdr:colOff>
      <xdr:row>72</xdr:row>
      <xdr:rowOff>68580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70075F9-FAA0-3D58-4CD8-EBB49B878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14160" y="12401384"/>
          <a:ext cx="5542758" cy="1596556"/>
        </a:xfrm>
        <a:prstGeom prst="rect">
          <a:avLst/>
        </a:prstGeom>
      </xdr:spPr>
    </xdr:pic>
    <xdr:clientData/>
  </xdr:twoCellAnchor>
  <xdr:twoCellAnchor editAs="oneCell">
    <xdr:from>
      <xdr:col>7</xdr:col>
      <xdr:colOff>243840</xdr:colOff>
      <xdr:row>76</xdr:row>
      <xdr:rowOff>121920</xdr:rowOff>
    </xdr:from>
    <xdr:to>
      <xdr:col>13</xdr:col>
      <xdr:colOff>662940</xdr:colOff>
      <xdr:row>83</xdr:row>
      <xdr:rowOff>106538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5C6A77BA-504B-DD94-EA84-3247B7E4B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99860" y="14874240"/>
          <a:ext cx="4511040" cy="1264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895D-C57C-4101-82CA-3A9128985612}">
  <sheetPr>
    <tabColor rgb="FFFFFF00"/>
  </sheetPr>
  <dimension ref="B2:AE135"/>
  <sheetViews>
    <sheetView showGridLines="0" tabSelected="1" zoomScaleNormal="100" workbookViewId="0">
      <selection activeCell="R2" sqref="R2"/>
    </sheetView>
  </sheetViews>
  <sheetFormatPr baseColWidth="10" defaultColWidth="8.6640625" defaultRowHeight="14.4" x14ac:dyDescent="0.3"/>
  <cols>
    <col min="1" max="1" width="3" style="2" customWidth="1"/>
    <col min="2" max="2" width="16.44140625" style="2" bestFit="1" customWidth="1"/>
    <col min="3" max="3" width="21.44140625" style="2" bestFit="1" customWidth="1"/>
    <col min="4" max="4" width="15" style="2" customWidth="1"/>
    <col min="5" max="5" width="23.5546875" style="2" bestFit="1" customWidth="1"/>
    <col min="6" max="6" width="9.5546875" style="2" bestFit="1" customWidth="1"/>
    <col min="7" max="7" width="8.6640625" style="2"/>
    <col min="8" max="8" width="10.5546875" style="2" bestFit="1" customWidth="1"/>
    <col min="9" max="9" width="10.77734375" style="2" bestFit="1" customWidth="1"/>
    <col min="10" max="10" width="11.88671875" style="2" bestFit="1" customWidth="1"/>
    <col min="11" max="11" width="5.21875" style="2" bestFit="1" customWidth="1"/>
    <col min="12" max="12" width="4.21875" style="2" customWidth="1"/>
    <col min="13" max="13" width="17" style="2" bestFit="1" customWidth="1"/>
    <col min="14" max="14" width="12.6640625" style="2" customWidth="1"/>
    <col min="15" max="15" width="9.21875" style="2" bestFit="1" customWidth="1"/>
    <col min="16" max="16" width="11.44140625" style="2" bestFit="1" customWidth="1"/>
    <col min="17" max="30" width="8.6640625" style="2"/>
    <col min="31" max="31" width="0" style="2" hidden="1" customWidth="1"/>
    <col min="32" max="16384" width="8.6640625" style="2"/>
  </cols>
  <sheetData>
    <row r="2" spans="2:31" ht="30" customHeight="1" x14ac:dyDescent="0.3">
      <c r="B2" s="1" t="s">
        <v>88</v>
      </c>
      <c r="C2" s="1"/>
      <c r="D2" s="1"/>
      <c r="E2" s="1"/>
    </row>
    <row r="4" spans="2:31" ht="15" customHeight="1" x14ac:dyDescent="0.3">
      <c r="B4" s="3" t="s">
        <v>89</v>
      </c>
      <c r="C4" s="55" t="s">
        <v>90</v>
      </c>
      <c r="D4" s="55"/>
      <c r="E4" s="55"/>
      <c r="G4" s="4" t="s">
        <v>91</v>
      </c>
      <c r="H4" s="5">
        <f ca="1">TODAY()</f>
        <v>46062</v>
      </c>
    </row>
    <row r="5" spans="2:31" ht="15" customHeight="1" x14ac:dyDescent="0.3">
      <c r="B5" s="6" t="s">
        <v>92</v>
      </c>
      <c r="C5" s="55" t="s">
        <v>90</v>
      </c>
      <c r="D5" s="55"/>
      <c r="E5" s="55"/>
      <c r="G5" s="4" t="s">
        <v>93</v>
      </c>
      <c r="H5" s="7">
        <f>D135</f>
        <v>0</v>
      </c>
    </row>
    <row r="7" spans="2:31" s="8" customFormat="1" ht="21.75" customHeight="1" x14ac:dyDescent="0.3">
      <c r="B7" s="52" t="s">
        <v>103</v>
      </c>
      <c r="C7" s="52"/>
      <c r="D7" s="52"/>
      <c r="E7" s="52"/>
      <c r="F7" s="53" t="s">
        <v>0</v>
      </c>
      <c r="G7" s="53"/>
      <c r="H7" s="53"/>
      <c r="I7" s="53"/>
      <c r="J7" s="53"/>
      <c r="K7" s="53"/>
    </row>
    <row r="8" spans="2:31" x14ac:dyDescent="0.3">
      <c r="AE8" s="9" t="s">
        <v>94</v>
      </c>
    </row>
    <row r="9" spans="2:31" x14ac:dyDescent="0.3">
      <c r="B9" s="10" t="s">
        <v>1</v>
      </c>
      <c r="C9" s="10" t="s">
        <v>2</v>
      </c>
      <c r="D9" s="10" t="s">
        <v>3</v>
      </c>
      <c r="E9" s="10" t="s">
        <v>4</v>
      </c>
      <c r="AE9" s="9" t="s">
        <v>95</v>
      </c>
    </row>
    <row r="10" spans="2:31" x14ac:dyDescent="0.3">
      <c r="B10" s="11" t="s">
        <v>5</v>
      </c>
      <c r="C10" s="12">
        <v>15</v>
      </c>
      <c r="D10" s="12">
        <v>8</v>
      </c>
      <c r="E10" s="13" t="s">
        <v>128</v>
      </c>
      <c r="AE10" s="9" t="s">
        <v>96</v>
      </c>
    </row>
    <row r="11" spans="2:31" x14ac:dyDescent="0.3">
      <c r="B11" s="14" t="s">
        <v>6</v>
      </c>
      <c r="C11" s="15">
        <v>12</v>
      </c>
      <c r="D11" s="15">
        <v>12</v>
      </c>
      <c r="E11" s="16" t="s">
        <v>128</v>
      </c>
      <c r="AE11" s="9" t="s">
        <v>97</v>
      </c>
    </row>
    <row r="12" spans="2:31" x14ac:dyDescent="0.3">
      <c r="B12" s="11" t="s">
        <v>7</v>
      </c>
      <c r="C12" s="12">
        <v>8</v>
      </c>
      <c r="D12" s="12">
        <v>65</v>
      </c>
      <c r="E12" s="13" t="s">
        <v>128</v>
      </c>
      <c r="AE12" s="9" t="s">
        <v>98</v>
      </c>
    </row>
    <row r="13" spans="2:31" x14ac:dyDescent="0.3">
      <c r="B13" s="14" t="s">
        <v>8</v>
      </c>
      <c r="C13" s="15">
        <v>4</v>
      </c>
      <c r="D13" s="15">
        <v>45</v>
      </c>
      <c r="E13" s="16" t="s">
        <v>128</v>
      </c>
      <c r="AE13" s="9" t="s">
        <v>99</v>
      </c>
    </row>
    <row r="14" spans="2:31" x14ac:dyDescent="0.3">
      <c r="B14" s="11" t="s">
        <v>9</v>
      </c>
      <c r="C14" s="12">
        <v>30</v>
      </c>
      <c r="D14" s="12">
        <v>2</v>
      </c>
      <c r="E14" s="13" t="s">
        <v>128</v>
      </c>
      <c r="AE14" s="9" t="s">
        <v>100</v>
      </c>
    </row>
    <row r="15" spans="2:31" x14ac:dyDescent="0.3">
      <c r="B15" s="14" t="s">
        <v>10</v>
      </c>
      <c r="C15" s="15">
        <v>20</v>
      </c>
      <c r="D15" s="15">
        <v>6</v>
      </c>
      <c r="E15" s="16" t="s">
        <v>128</v>
      </c>
      <c r="AE15" s="9" t="s">
        <v>101</v>
      </c>
    </row>
    <row r="16" spans="2:31" x14ac:dyDescent="0.3">
      <c r="B16" s="11" t="s">
        <v>11</v>
      </c>
      <c r="C16" s="12">
        <v>10</v>
      </c>
      <c r="D16" s="12">
        <v>15</v>
      </c>
      <c r="E16" s="13" t="s">
        <v>128</v>
      </c>
      <c r="AE16" s="9" t="s">
        <v>102</v>
      </c>
    </row>
    <row r="17" spans="2:17" x14ac:dyDescent="0.3">
      <c r="B17" s="56" t="s">
        <v>12</v>
      </c>
      <c r="C17" s="56"/>
      <c r="D17" s="56"/>
      <c r="E17" s="17" t="s">
        <v>128</v>
      </c>
    </row>
    <row r="20" spans="2:17" s="8" customFormat="1" ht="21.75" customHeight="1" x14ac:dyDescent="0.3">
      <c r="B20" s="52" t="s">
        <v>121</v>
      </c>
      <c r="C20" s="52"/>
      <c r="D20" s="52"/>
      <c r="E20" s="52"/>
      <c r="F20" s="53" t="s">
        <v>13</v>
      </c>
      <c r="G20" s="53"/>
      <c r="H20" s="53"/>
      <c r="I20" s="53"/>
      <c r="J20" s="53"/>
      <c r="K20" s="53"/>
    </row>
    <row r="22" spans="2:17" x14ac:dyDescent="0.3">
      <c r="B22" s="10" t="s">
        <v>14</v>
      </c>
      <c r="C22" s="10" t="s">
        <v>15</v>
      </c>
      <c r="D22" s="10" t="s">
        <v>16</v>
      </c>
      <c r="E22" s="10" t="s">
        <v>17</v>
      </c>
      <c r="F22" s="10" t="s">
        <v>18</v>
      </c>
    </row>
    <row r="23" spans="2:17" x14ac:dyDescent="0.3">
      <c r="B23" s="11" t="s">
        <v>19</v>
      </c>
      <c r="C23" s="12">
        <v>14</v>
      </c>
      <c r="D23" s="12">
        <v>16</v>
      </c>
      <c r="E23" s="12">
        <v>15</v>
      </c>
      <c r="F23" s="13" t="s">
        <v>128</v>
      </c>
    </row>
    <row r="24" spans="2:17" x14ac:dyDescent="0.3">
      <c r="B24" s="14" t="s">
        <v>20</v>
      </c>
      <c r="C24" s="15">
        <v>12</v>
      </c>
      <c r="D24" s="15">
        <v>13</v>
      </c>
      <c r="E24" s="15">
        <v>14</v>
      </c>
      <c r="F24" s="16" t="s">
        <v>128</v>
      </c>
    </row>
    <row r="25" spans="2:17" x14ac:dyDescent="0.3">
      <c r="B25" s="11" t="s">
        <v>21</v>
      </c>
      <c r="C25" s="12">
        <v>15</v>
      </c>
      <c r="D25" s="12">
        <v>17</v>
      </c>
      <c r="E25" s="12">
        <v>16</v>
      </c>
      <c r="F25" s="13" t="s">
        <v>128</v>
      </c>
    </row>
    <row r="26" spans="2:17" x14ac:dyDescent="0.3">
      <c r="B26" s="14" t="s">
        <v>22</v>
      </c>
      <c r="C26" s="15">
        <v>10</v>
      </c>
      <c r="D26" s="15">
        <v>12</v>
      </c>
      <c r="E26" s="15">
        <v>11</v>
      </c>
      <c r="F26" s="16" t="s">
        <v>128</v>
      </c>
    </row>
    <row r="27" spans="2:17" x14ac:dyDescent="0.3">
      <c r="B27" s="11" t="s">
        <v>23</v>
      </c>
      <c r="C27" s="12">
        <v>16</v>
      </c>
      <c r="D27" s="12">
        <v>15</v>
      </c>
      <c r="E27" s="12">
        <v>17</v>
      </c>
      <c r="F27" s="13" t="s">
        <v>128</v>
      </c>
    </row>
    <row r="30" spans="2:17" s="8" customFormat="1" ht="21.75" customHeight="1" x14ac:dyDescent="0.3">
      <c r="B30" s="52" t="s">
        <v>104</v>
      </c>
      <c r="C30" s="52"/>
      <c r="D30" s="52"/>
      <c r="E30" s="52"/>
      <c r="F30" s="53" t="s">
        <v>124</v>
      </c>
      <c r="G30" s="53"/>
      <c r="H30" s="53"/>
      <c r="I30" s="53"/>
      <c r="J30" s="53"/>
      <c r="K30" s="53"/>
      <c r="L30" s="54" t="s">
        <v>24</v>
      </c>
      <c r="M30" s="54"/>
      <c r="N30" s="54"/>
      <c r="O30" s="54"/>
      <c r="P30" s="54"/>
      <c r="Q30" s="54"/>
    </row>
    <row r="32" spans="2:17" x14ac:dyDescent="0.3">
      <c r="B32" s="10" t="s">
        <v>25</v>
      </c>
      <c r="C32" s="10" t="s">
        <v>26</v>
      </c>
      <c r="D32" s="10" t="s">
        <v>27</v>
      </c>
      <c r="E32" s="10" t="s">
        <v>28</v>
      </c>
      <c r="F32" s="10" t="s">
        <v>29</v>
      </c>
    </row>
    <row r="33" spans="2:6" x14ac:dyDescent="0.3">
      <c r="B33" s="11" t="s">
        <v>30</v>
      </c>
      <c r="C33" s="12">
        <v>150</v>
      </c>
      <c r="D33" s="12">
        <v>20</v>
      </c>
      <c r="E33" s="13" t="s">
        <v>128</v>
      </c>
      <c r="F33" s="13" t="s">
        <v>128</v>
      </c>
    </row>
    <row r="34" spans="2:6" x14ac:dyDescent="0.3">
      <c r="B34" s="14" t="s">
        <v>31</v>
      </c>
      <c r="C34" s="15">
        <v>400</v>
      </c>
      <c r="D34" s="15">
        <v>25</v>
      </c>
      <c r="E34" s="16" t="s">
        <v>128</v>
      </c>
      <c r="F34" s="16" t="s">
        <v>128</v>
      </c>
    </row>
    <row r="35" spans="2:6" x14ac:dyDescent="0.3">
      <c r="B35" s="11" t="s">
        <v>32</v>
      </c>
      <c r="C35" s="12">
        <v>600</v>
      </c>
      <c r="D35" s="12">
        <v>30</v>
      </c>
      <c r="E35" s="13" t="s">
        <v>128</v>
      </c>
      <c r="F35" s="13" t="s">
        <v>128</v>
      </c>
    </row>
    <row r="36" spans="2:6" x14ac:dyDescent="0.3">
      <c r="B36" s="14" t="s">
        <v>33</v>
      </c>
      <c r="C36" s="15">
        <v>800</v>
      </c>
      <c r="D36" s="15">
        <v>15</v>
      </c>
      <c r="E36" s="16" t="s">
        <v>128</v>
      </c>
      <c r="F36" s="16" t="s">
        <v>128</v>
      </c>
    </row>
    <row r="37" spans="2:6" x14ac:dyDescent="0.3">
      <c r="B37" s="57" t="s">
        <v>115</v>
      </c>
      <c r="C37" s="58"/>
      <c r="D37" s="58"/>
      <c r="E37" s="18" t="s">
        <v>128</v>
      </c>
      <c r="F37" s="17" t="s">
        <v>128</v>
      </c>
    </row>
    <row r="40" spans="2:6" s="8" customFormat="1" ht="21.75" customHeight="1" x14ac:dyDescent="0.3">
      <c r="B40" s="19" t="s">
        <v>105</v>
      </c>
      <c r="C40" s="19"/>
      <c r="D40" s="19"/>
      <c r="E40" s="19"/>
    </row>
    <row r="42" spans="2:6" x14ac:dyDescent="0.3">
      <c r="B42" s="10" t="s">
        <v>34</v>
      </c>
      <c r="C42" s="10" t="s">
        <v>35</v>
      </c>
      <c r="E42" s="10" t="s">
        <v>36</v>
      </c>
      <c r="F42" s="10" t="s">
        <v>37</v>
      </c>
    </row>
    <row r="43" spans="2:6" x14ac:dyDescent="0.3">
      <c r="B43" s="11" t="s">
        <v>38</v>
      </c>
      <c r="C43" s="12">
        <v>900</v>
      </c>
      <c r="E43" s="11" t="s">
        <v>39</v>
      </c>
      <c r="F43" s="20" t="s">
        <v>128</v>
      </c>
    </row>
    <row r="44" spans="2:6" x14ac:dyDescent="0.3">
      <c r="B44" s="14" t="s">
        <v>40</v>
      </c>
      <c r="C44" s="15">
        <v>1000</v>
      </c>
      <c r="E44" s="21" t="s">
        <v>41</v>
      </c>
      <c r="F44" s="22" t="s">
        <v>128</v>
      </c>
    </row>
    <row r="45" spans="2:6" x14ac:dyDescent="0.3">
      <c r="B45" s="11" t="s">
        <v>42</v>
      </c>
      <c r="C45" s="12">
        <v>1000</v>
      </c>
      <c r="E45" s="11" t="s">
        <v>43</v>
      </c>
      <c r="F45" s="20" t="s">
        <v>128</v>
      </c>
    </row>
    <row r="46" spans="2:6" x14ac:dyDescent="0.3">
      <c r="B46" s="14" t="s">
        <v>44</v>
      </c>
      <c r="C46" s="15">
        <v>2000</v>
      </c>
      <c r="E46" s="21" t="s">
        <v>45</v>
      </c>
      <c r="F46" s="22" t="s">
        <v>128</v>
      </c>
    </row>
    <row r="47" spans="2:6" x14ac:dyDescent="0.3">
      <c r="B47" s="11" t="s">
        <v>46</v>
      </c>
      <c r="C47" s="12">
        <v>1600</v>
      </c>
    </row>
    <row r="48" spans="2:6" x14ac:dyDescent="0.3">
      <c r="B48" s="14" t="s">
        <v>47</v>
      </c>
      <c r="C48" s="15">
        <v>2800</v>
      </c>
    </row>
    <row r="49" spans="2:11" x14ac:dyDescent="0.3">
      <c r="B49" s="11" t="s">
        <v>48</v>
      </c>
      <c r="C49" s="12">
        <v>1900</v>
      </c>
    </row>
    <row r="52" spans="2:11" s="8" customFormat="1" ht="21.75" customHeight="1" x14ac:dyDescent="0.3">
      <c r="B52" s="52" t="s">
        <v>107</v>
      </c>
      <c r="C52" s="52"/>
      <c r="D52" s="52"/>
      <c r="E52" s="52"/>
      <c r="F52" s="53" t="s">
        <v>125</v>
      </c>
      <c r="G52" s="53"/>
      <c r="H52" s="53"/>
      <c r="I52" s="53"/>
      <c r="J52" s="53"/>
      <c r="K52" s="53"/>
    </row>
    <row r="53" spans="2:11" x14ac:dyDescent="0.3">
      <c r="B53" s="62" t="s">
        <v>49</v>
      </c>
      <c r="C53" s="62"/>
      <c r="D53" s="62"/>
      <c r="E53" s="62"/>
    </row>
    <row r="55" spans="2:11" x14ac:dyDescent="0.3">
      <c r="B55" s="23" t="s">
        <v>50</v>
      </c>
      <c r="C55" s="23" t="s">
        <v>51</v>
      </c>
      <c r="D55" s="23" t="s">
        <v>52</v>
      </c>
      <c r="E55" s="23" t="s">
        <v>53</v>
      </c>
      <c r="F55" s="23" t="s">
        <v>54</v>
      </c>
    </row>
    <row r="56" spans="2:11" x14ac:dyDescent="0.3">
      <c r="B56" s="12" t="s">
        <v>55</v>
      </c>
      <c r="C56" s="12">
        <v>18</v>
      </c>
      <c r="D56" s="12">
        <v>5</v>
      </c>
      <c r="E56" s="12">
        <v>3</v>
      </c>
      <c r="F56" s="22" t="s">
        <v>128</v>
      </c>
    </row>
    <row r="57" spans="2:11" x14ac:dyDescent="0.3">
      <c r="B57" s="15" t="s">
        <v>56</v>
      </c>
      <c r="C57" s="15">
        <v>20</v>
      </c>
      <c r="D57" s="15">
        <v>4</v>
      </c>
      <c r="E57" s="15">
        <v>2</v>
      </c>
      <c r="F57" s="22" t="s">
        <v>128</v>
      </c>
    </row>
    <row r="58" spans="2:11" x14ac:dyDescent="0.3">
      <c r="B58" s="12" t="s">
        <v>57</v>
      </c>
      <c r="C58" s="12">
        <v>15</v>
      </c>
      <c r="D58" s="12">
        <v>8</v>
      </c>
      <c r="E58" s="12">
        <v>3</v>
      </c>
      <c r="F58" s="22" t="s">
        <v>128</v>
      </c>
    </row>
    <row r="59" spans="2:11" x14ac:dyDescent="0.3">
      <c r="B59" s="15" t="s">
        <v>58</v>
      </c>
      <c r="C59" s="15">
        <v>12</v>
      </c>
      <c r="D59" s="15">
        <v>6</v>
      </c>
      <c r="E59" s="15">
        <v>8</v>
      </c>
      <c r="F59" s="22" t="s">
        <v>128</v>
      </c>
    </row>
    <row r="60" spans="2:11" x14ac:dyDescent="0.3">
      <c r="B60" s="12" t="s">
        <v>59</v>
      </c>
      <c r="C60" s="12">
        <v>10</v>
      </c>
      <c r="D60" s="12">
        <v>7</v>
      </c>
      <c r="E60" s="12">
        <v>9</v>
      </c>
      <c r="F60" s="22" t="s">
        <v>128</v>
      </c>
    </row>
    <row r="63" spans="2:11" s="8" customFormat="1" ht="21.75" customHeight="1" x14ac:dyDescent="0.3">
      <c r="B63" s="52" t="s">
        <v>60</v>
      </c>
      <c r="C63" s="52"/>
      <c r="D63" s="52"/>
      <c r="E63" s="52"/>
    </row>
    <row r="64" spans="2:11" x14ac:dyDescent="0.3">
      <c r="B64" s="62" t="s">
        <v>61</v>
      </c>
      <c r="C64" s="62"/>
      <c r="D64" s="62"/>
      <c r="E64" s="62"/>
    </row>
    <row r="66" spans="2:6" x14ac:dyDescent="0.3">
      <c r="B66" s="23" t="s">
        <v>62</v>
      </c>
      <c r="C66" s="23" t="s">
        <v>63</v>
      </c>
      <c r="E66" s="23" t="s">
        <v>36</v>
      </c>
      <c r="F66" s="23" t="s">
        <v>37</v>
      </c>
    </row>
    <row r="67" spans="2:6" x14ac:dyDescent="0.3">
      <c r="B67" s="11" t="s">
        <v>64</v>
      </c>
      <c r="C67" s="12">
        <v>2</v>
      </c>
      <c r="E67" s="11" t="s">
        <v>65</v>
      </c>
      <c r="F67" s="22" t="s">
        <v>128</v>
      </c>
    </row>
    <row r="68" spans="2:6" x14ac:dyDescent="0.3">
      <c r="B68" s="14" t="s">
        <v>66</v>
      </c>
      <c r="C68" s="15">
        <v>0</v>
      </c>
      <c r="E68" s="11" t="s">
        <v>67</v>
      </c>
      <c r="F68" s="22" t="s">
        <v>128</v>
      </c>
    </row>
    <row r="69" spans="2:6" x14ac:dyDescent="0.3">
      <c r="B69" s="11" t="s">
        <v>68</v>
      </c>
      <c r="C69" s="12">
        <v>3</v>
      </c>
      <c r="E69" s="11" t="s">
        <v>126</v>
      </c>
      <c r="F69" s="22" t="s">
        <v>128</v>
      </c>
    </row>
    <row r="70" spans="2:6" x14ac:dyDescent="0.3">
      <c r="B70" s="14" t="s">
        <v>69</v>
      </c>
      <c r="C70" s="15">
        <v>3</v>
      </c>
      <c r="E70" s="11" t="s">
        <v>127</v>
      </c>
      <c r="F70" s="22" t="s">
        <v>128</v>
      </c>
    </row>
    <row r="71" spans="2:6" x14ac:dyDescent="0.3">
      <c r="B71" s="11" t="s">
        <v>70</v>
      </c>
      <c r="C71" s="12">
        <v>2</v>
      </c>
      <c r="E71" s="11" t="s">
        <v>71</v>
      </c>
      <c r="F71" s="22" t="s">
        <v>128</v>
      </c>
    </row>
    <row r="72" spans="2:6" x14ac:dyDescent="0.3">
      <c r="B72" s="14" t="s">
        <v>72</v>
      </c>
      <c r="C72" s="15">
        <v>4</v>
      </c>
    </row>
    <row r="73" spans="2:6" x14ac:dyDescent="0.3">
      <c r="B73" s="11" t="s">
        <v>73</v>
      </c>
      <c r="C73" s="12">
        <v>0</v>
      </c>
    </row>
    <row r="75" spans="2:6" s="8" customFormat="1" ht="21.75" customHeight="1" x14ac:dyDescent="0.3">
      <c r="B75" s="52" t="s">
        <v>108</v>
      </c>
      <c r="C75" s="52"/>
      <c r="D75" s="52"/>
      <c r="E75" s="52"/>
    </row>
    <row r="76" spans="2:6" x14ac:dyDescent="0.3">
      <c r="B76" s="62" t="s">
        <v>74</v>
      </c>
      <c r="C76" s="62"/>
      <c r="D76" s="62"/>
      <c r="E76" s="62"/>
    </row>
    <row r="78" spans="2:6" x14ac:dyDescent="0.3">
      <c r="B78" s="24" t="s">
        <v>75</v>
      </c>
      <c r="C78" s="24" t="s">
        <v>76</v>
      </c>
      <c r="D78" s="24" t="s">
        <v>77</v>
      </c>
      <c r="E78" s="24" t="s">
        <v>78</v>
      </c>
    </row>
    <row r="79" spans="2:6" x14ac:dyDescent="0.3">
      <c r="B79" s="25" t="s">
        <v>79</v>
      </c>
      <c r="C79" s="25">
        <v>20</v>
      </c>
      <c r="D79" s="25">
        <v>120</v>
      </c>
      <c r="E79" s="26" t="s">
        <v>128</v>
      </c>
    </row>
    <row r="80" spans="2:6" x14ac:dyDescent="0.3">
      <c r="B80" s="27" t="s">
        <v>80</v>
      </c>
      <c r="C80" s="27">
        <v>25</v>
      </c>
      <c r="D80" s="27">
        <v>140</v>
      </c>
      <c r="E80" s="26" t="s">
        <v>128</v>
      </c>
    </row>
    <row r="81" spans="2:7" x14ac:dyDescent="0.3">
      <c r="B81" s="25" t="s">
        <v>81</v>
      </c>
      <c r="C81" s="25">
        <v>30</v>
      </c>
      <c r="D81" s="25">
        <v>165</v>
      </c>
      <c r="E81" s="26" t="s">
        <v>128</v>
      </c>
    </row>
    <row r="82" spans="2:7" x14ac:dyDescent="0.3">
      <c r="B82" s="27" t="s">
        <v>82</v>
      </c>
      <c r="C82" s="27">
        <v>35</v>
      </c>
      <c r="D82" s="27">
        <v>180</v>
      </c>
      <c r="E82" s="26" t="s">
        <v>128</v>
      </c>
    </row>
    <row r="83" spans="2:7" x14ac:dyDescent="0.3">
      <c r="B83" s="25" t="s">
        <v>83</v>
      </c>
      <c r="C83" s="25">
        <v>40</v>
      </c>
      <c r="D83" s="25">
        <v>200</v>
      </c>
      <c r="E83" s="26" t="s">
        <v>128</v>
      </c>
    </row>
    <row r="84" spans="2:7" x14ac:dyDescent="0.3">
      <c r="B84" s="59" t="s">
        <v>84</v>
      </c>
      <c r="C84" s="60"/>
      <c r="D84" s="61"/>
      <c r="E84" s="28" t="s">
        <v>128</v>
      </c>
    </row>
    <row r="86" spans="2:7" s="29" customFormat="1" ht="21.75" customHeight="1" x14ac:dyDescent="0.3">
      <c r="B86" s="63" t="s">
        <v>106</v>
      </c>
      <c r="C86" s="63"/>
      <c r="D86" s="63"/>
      <c r="E86" s="63"/>
    </row>
    <row r="87" spans="2:7" ht="21.75" customHeight="1" x14ac:dyDescent="0.3"/>
    <row r="88" spans="2:7" ht="69.75" customHeight="1" x14ac:dyDescent="0.3">
      <c r="B88" s="64" t="s">
        <v>85</v>
      </c>
      <c r="C88" s="64"/>
      <c r="D88" s="64"/>
      <c r="E88" s="65" t="s">
        <v>86</v>
      </c>
      <c r="F88" s="66"/>
      <c r="G88" s="67"/>
    </row>
    <row r="89" spans="2:7" ht="14.4" customHeight="1" x14ac:dyDescent="0.3">
      <c r="B89" s="64"/>
      <c r="C89" s="64"/>
      <c r="D89" s="64"/>
      <c r="E89" s="68"/>
      <c r="F89" s="69"/>
      <c r="G89" s="70"/>
    </row>
    <row r="90" spans="2:7" ht="14.4" customHeight="1" x14ac:dyDescent="0.3">
      <c r="B90" s="64"/>
      <c r="C90" s="64"/>
      <c r="D90" s="64"/>
      <c r="E90" s="68"/>
      <c r="F90" s="69"/>
      <c r="G90" s="70"/>
    </row>
    <row r="91" spans="2:7" ht="46.8" customHeight="1" x14ac:dyDescent="0.3">
      <c r="B91" s="64"/>
      <c r="C91" s="64"/>
      <c r="D91" s="64"/>
      <c r="E91" s="71"/>
      <c r="F91" s="72"/>
      <c r="G91" s="73"/>
    </row>
    <row r="94" spans="2:7" x14ac:dyDescent="0.3">
      <c r="B94" s="30" t="s">
        <v>87</v>
      </c>
    </row>
    <row r="95" spans="2:7" x14ac:dyDescent="0.3">
      <c r="B95" s="31"/>
      <c r="C95" s="31"/>
      <c r="D95" s="31"/>
      <c r="E95" s="31"/>
      <c r="F95" s="31"/>
      <c r="G95" s="31"/>
    </row>
    <row r="96" spans="2:7" x14ac:dyDescent="0.3">
      <c r="B96" s="31"/>
      <c r="C96" s="31"/>
      <c r="D96" s="31"/>
      <c r="E96" s="31"/>
      <c r="F96" s="31"/>
      <c r="G96" s="31"/>
    </row>
    <row r="97" spans="2:7" x14ac:dyDescent="0.3">
      <c r="B97" s="31"/>
      <c r="C97" s="31"/>
      <c r="D97" s="31"/>
      <c r="E97" s="31"/>
      <c r="F97" s="31"/>
      <c r="G97" s="31"/>
    </row>
    <row r="98" spans="2:7" x14ac:dyDescent="0.3">
      <c r="B98" s="31"/>
      <c r="C98" s="31"/>
      <c r="D98" s="31"/>
      <c r="E98" s="31"/>
      <c r="F98" s="31"/>
      <c r="G98" s="31"/>
    </row>
    <row r="99" spans="2:7" x14ac:dyDescent="0.3">
      <c r="B99" s="31"/>
      <c r="C99" s="31"/>
      <c r="D99" s="31"/>
      <c r="E99" s="31"/>
      <c r="F99" s="31"/>
      <c r="G99" s="31"/>
    </row>
    <row r="100" spans="2:7" x14ac:dyDescent="0.3">
      <c r="B100" s="31"/>
      <c r="C100" s="31"/>
      <c r="D100" s="31"/>
      <c r="E100" s="31"/>
      <c r="F100" s="31"/>
      <c r="G100" s="31"/>
    </row>
    <row r="101" spans="2:7" x14ac:dyDescent="0.3">
      <c r="B101" s="31"/>
      <c r="C101" s="31"/>
      <c r="D101" s="31"/>
      <c r="E101" s="31"/>
      <c r="F101" s="31"/>
      <c r="G101" s="31"/>
    </row>
    <row r="102" spans="2:7" x14ac:dyDescent="0.3">
      <c r="B102" s="31"/>
      <c r="C102" s="31"/>
      <c r="D102" s="31"/>
      <c r="E102" s="31"/>
      <c r="F102" s="31"/>
      <c r="G102" s="31"/>
    </row>
    <row r="103" spans="2:7" x14ac:dyDescent="0.3">
      <c r="B103" s="31"/>
      <c r="C103" s="31"/>
      <c r="D103" s="31"/>
      <c r="E103" s="31"/>
      <c r="F103" s="31"/>
      <c r="G103" s="31"/>
    </row>
    <row r="104" spans="2:7" x14ac:dyDescent="0.3">
      <c r="B104" s="31"/>
      <c r="C104" s="31"/>
      <c r="D104" s="31"/>
      <c r="E104" s="31"/>
      <c r="F104" s="31"/>
      <c r="G104" s="31"/>
    </row>
    <row r="105" spans="2:7" x14ac:dyDescent="0.3">
      <c r="B105" s="31"/>
      <c r="C105" s="31"/>
      <c r="D105" s="31"/>
      <c r="E105" s="31"/>
      <c r="F105" s="31"/>
      <c r="G105" s="31"/>
    </row>
    <row r="108" spans="2:7" x14ac:dyDescent="0.3">
      <c r="B108"/>
      <c r="C108"/>
      <c r="D108"/>
      <c r="E108"/>
      <c r="F108"/>
    </row>
    <row r="109" spans="2:7" ht="18" x14ac:dyDescent="0.35">
      <c r="B109" s="32"/>
      <c r="C109" s="33" t="str">
        <f>B4</f>
        <v>Nom et Prénom :</v>
      </c>
      <c r="D109" s="33" t="str">
        <f>C4</f>
        <v>_______________________________</v>
      </c>
      <c r="E109" s="33"/>
      <c r="F109" s="33"/>
    </row>
    <row r="110" spans="2:7" ht="18" x14ac:dyDescent="0.35">
      <c r="B110" s="32"/>
      <c r="C110" s="33" t="str">
        <f>B5</f>
        <v>Classe :</v>
      </c>
      <c r="D110" s="33" t="str">
        <f>C5</f>
        <v>_______________________________</v>
      </c>
      <c r="E110" s="33"/>
      <c r="F110" s="33"/>
    </row>
    <row r="111" spans="2:7" x14ac:dyDescent="0.3">
      <c r="B111" s="32"/>
      <c r="C111" s="32"/>
      <c r="D111" s="32"/>
      <c r="E111" s="32"/>
      <c r="F111" s="32"/>
    </row>
    <row r="112" spans="2:7" ht="13.8" customHeight="1" x14ac:dyDescent="0.3">
      <c r="B112" s="32"/>
      <c r="C112" s="46" t="s">
        <v>109</v>
      </c>
      <c r="D112" s="47"/>
      <c r="E112" s="48"/>
      <c r="F112" s="32"/>
    </row>
    <row r="113" spans="2:6" ht="18" x14ac:dyDescent="0.3">
      <c r="B113" s="32"/>
      <c r="C113" s="34" t="s">
        <v>110</v>
      </c>
      <c r="D113" s="35" t="s">
        <v>122</v>
      </c>
      <c r="E113" s="34" t="s">
        <v>122</v>
      </c>
      <c r="F113" s="32"/>
    </row>
    <row r="114" spans="2:6" ht="14.4" customHeight="1" x14ac:dyDescent="0.3">
      <c r="B114" s="44" t="s">
        <v>111</v>
      </c>
      <c r="C114" s="37" t="str">
        <f>E9</f>
        <v>Total</v>
      </c>
      <c r="D114" s="37">
        <f>IF(AND(_xlfn.ISFORMULA(E10),E10=C10*D10),1,0)</f>
        <v>0</v>
      </c>
      <c r="E114" s="38">
        <v>1</v>
      </c>
      <c r="F114" s="32"/>
    </row>
    <row r="115" spans="2:6" ht="23.4" customHeight="1" x14ac:dyDescent="0.3">
      <c r="B115" s="44"/>
      <c r="C115" s="37" t="str">
        <f>B17</f>
        <v>BUDGET TOTAL</v>
      </c>
      <c r="D115" s="37">
        <f>IF(AND(_xlfn.ISFORMULA(E17),E17=SUM(E10:E16)),1,0)</f>
        <v>0</v>
      </c>
      <c r="E115" s="38">
        <v>1</v>
      </c>
      <c r="F115" s="32"/>
    </row>
    <row r="116" spans="2:6" ht="22.8" x14ac:dyDescent="0.3">
      <c r="B116" s="36" t="s">
        <v>112</v>
      </c>
      <c r="C116" s="37" t="str">
        <f>F22</f>
        <v>Moyenne</v>
      </c>
      <c r="D116" s="37">
        <f>IF(AND(_xlfn.ISFORMULA(F23),F23=AVERAGE(C23:E23)),1,0)</f>
        <v>0</v>
      </c>
      <c r="E116" s="38">
        <v>1</v>
      </c>
      <c r="F116" s="32"/>
    </row>
    <row r="117" spans="2:6" ht="18" x14ac:dyDescent="0.3">
      <c r="B117" s="49" t="s">
        <v>113</v>
      </c>
      <c r="C117" s="37" t="str">
        <f>E32</f>
        <v>Économie</v>
      </c>
      <c r="D117" s="37">
        <f>IF(AND(_xlfn.ISFORMULA(E33),E33=C33*D33/100),1,0)</f>
        <v>0</v>
      </c>
      <c r="E117" s="38">
        <v>1</v>
      </c>
      <c r="F117" s="32"/>
    </row>
    <row r="118" spans="2:6" ht="22.8" customHeight="1" x14ac:dyDescent="0.3">
      <c r="B118" s="50"/>
      <c r="C118" s="37" t="str">
        <f>F32</f>
        <v>Prix final</v>
      </c>
      <c r="D118" s="37">
        <f>IFERROR(IF(AND(_xlfn.ISFORMULA(F33),F33=C33-E33),1,0),0)</f>
        <v>0</v>
      </c>
      <c r="E118" s="38">
        <v>1</v>
      </c>
      <c r="F118" s="32"/>
    </row>
    <row r="119" spans="2:6" ht="18" x14ac:dyDescent="0.3">
      <c r="B119" s="50"/>
      <c r="C119" s="37" t="str">
        <f>B37</f>
        <v xml:space="preserve">TOTAL </v>
      </c>
      <c r="D119" s="37">
        <f>IFERROR(IF(AND(_xlfn.ISFORMULA(F37),F37=SUM(F33:F36)),0.5,0),0)</f>
        <v>0</v>
      </c>
      <c r="E119" s="38">
        <v>0.5</v>
      </c>
      <c r="F119" s="32"/>
    </row>
    <row r="120" spans="2:6" ht="18" customHeight="1" x14ac:dyDescent="0.3">
      <c r="B120" s="51"/>
      <c r="C120" s="37" t="str">
        <f>B37</f>
        <v xml:space="preserve">TOTAL </v>
      </c>
      <c r="D120" s="37">
        <f>IFERROR(IF(AND(_xlfn.ISFORMULA(E37),E37=SUM(E33:E36)),0.5,0),0)</f>
        <v>0</v>
      </c>
      <c r="E120" s="38">
        <v>0.5</v>
      </c>
      <c r="F120" s="32"/>
    </row>
    <row r="121" spans="2:6" ht="18" x14ac:dyDescent="0.3">
      <c r="B121" s="49" t="s">
        <v>116</v>
      </c>
      <c r="C121" s="37" t="str">
        <f>E43</f>
        <v>Vente MAX</v>
      </c>
      <c r="D121" s="37">
        <f>IFERROR(IF(AND(_xlfn.ISFORMULA(F43),F43=MAX(C43:C49)),1,0),0)</f>
        <v>0</v>
      </c>
      <c r="E121" s="38">
        <v>1</v>
      </c>
      <c r="F121" s="32"/>
    </row>
    <row r="122" spans="2:6" ht="18" customHeight="1" x14ac:dyDescent="0.3">
      <c r="B122" s="50"/>
      <c r="C122" s="37" t="str">
        <f>E44</f>
        <v>Vente MIN</v>
      </c>
      <c r="D122" s="37">
        <f>IFERROR(IF(AND(_xlfn.ISFORMULA(F44),F44=MIN(C43:C49)),1,0),0)</f>
        <v>0</v>
      </c>
      <c r="E122" s="38">
        <v>1</v>
      </c>
      <c r="F122" s="32"/>
    </row>
    <row r="123" spans="2:6" ht="18" customHeight="1" x14ac:dyDescent="0.3">
      <c r="B123" s="50"/>
      <c r="C123" s="37" t="str">
        <f>E45</f>
        <v>Vente moyenne</v>
      </c>
      <c r="D123" s="37">
        <f>IFERROR(IF(AND(_xlfn.ISFORMULA(F45),F45=AVERAGE(C43:C49)),1,0),0)</f>
        <v>0</v>
      </c>
      <c r="E123" s="38">
        <v>1</v>
      </c>
      <c r="F123" s="32"/>
    </row>
    <row r="124" spans="2:6" ht="18" x14ac:dyDescent="0.3">
      <c r="B124" s="51"/>
      <c r="C124" s="37" t="str">
        <f>E46</f>
        <v>Total semaine</v>
      </c>
      <c r="D124" s="37">
        <f>IFERROR(IF(AND(_xlfn.ISFORMULA(F46),F46=SUM(C43:C49)),1,0),0)</f>
        <v>0</v>
      </c>
      <c r="E124" s="38">
        <v>1</v>
      </c>
      <c r="F124" s="32"/>
    </row>
    <row r="125" spans="2:6" ht="22.8" x14ac:dyDescent="0.3">
      <c r="B125" s="39" t="s">
        <v>117</v>
      </c>
      <c r="C125" s="37" t="str">
        <f>F55</f>
        <v>Points</v>
      </c>
      <c r="D125" s="37">
        <f>IFERROR(IF(AND(_xlfn.ISFORMULA(F56),F56=C56*3+D56),1,0),0)</f>
        <v>0</v>
      </c>
      <c r="E125" s="38">
        <v>1</v>
      </c>
      <c r="F125" s="32"/>
    </row>
    <row r="126" spans="2:6" ht="18" x14ac:dyDescent="0.3">
      <c r="B126" s="44" t="s">
        <v>118</v>
      </c>
      <c r="C126" s="37" t="str">
        <f>E67</f>
        <v>Total buts</v>
      </c>
      <c r="D126" s="37">
        <f>IFERROR(IF(AND(_xlfn.ISFORMULA(F67),F67=SUM(C67:C73)),1,0),0)</f>
        <v>0</v>
      </c>
      <c r="E126" s="38">
        <v>1</v>
      </c>
      <c r="F126" s="32"/>
    </row>
    <row r="127" spans="2:6" ht="18" customHeight="1" x14ac:dyDescent="0.3">
      <c r="B127" s="44"/>
      <c r="C127" s="37" t="str">
        <f>E68</f>
        <v>Moyenne buts/match</v>
      </c>
      <c r="D127" s="37">
        <f>IFERROR(IF(AND(_xlfn.ISFORMULA(F68),F68=AVERAGE(C67:C73)),1,0),0)</f>
        <v>0</v>
      </c>
      <c r="E127" s="38">
        <v>1</v>
      </c>
      <c r="F127" s="32"/>
    </row>
    <row r="128" spans="2:6" ht="18" x14ac:dyDescent="0.3">
      <c r="B128" s="44"/>
      <c r="C128" s="37" t="str">
        <f>E69</f>
        <v>Meilleure performance</v>
      </c>
      <c r="D128" s="37">
        <f>IFERROR(IF(AND(_xlfn.ISFORMULA(F69),F69=MAX(C67:C73)),1,0),0)</f>
        <v>0</v>
      </c>
      <c r="E128" s="38">
        <v>1</v>
      </c>
      <c r="F128" s="32"/>
    </row>
    <row r="129" spans="2:6" ht="18" x14ac:dyDescent="0.3">
      <c r="B129" s="44"/>
      <c r="C129" s="37" t="str">
        <f>E70</f>
        <v>Plus mauvaise performance</v>
      </c>
      <c r="D129" s="37">
        <f>IFERROR(IF(AND(_xlfn.ISFORMULA(F70),F70=MIN(C67:C73)),1,0),0)</f>
        <v>0</v>
      </c>
      <c r="E129" s="38">
        <v>1</v>
      </c>
      <c r="F129" s="32"/>
    </row>
    <row r="130" spans="2:6" ht="18" x14ac:dyDescent="0.3">
      <c r="B130" s="44"/>
      <c r="C130" s="37" t="str">
        <f>E71</f>
        <v>Nombre de matchs</v>
      </c>
      <c r="D130" s="37">
        <f>IFERROR(IF(AND(_xlfn.ISFORMULA(F71),F71=COUNT(C67:C73)),1,0),0)</f>
        <v>0</v>
      </c>
      <c r="E130" s="38">
        <v>1</v>
      </c>
      <c r="F130" s="32"/>
    </row>
    <row r="131" spans="2:6" ht="18" x14ac:dyDescent="0.3">
      <c r="B131" s="49" t="s">
        <v>119</v>
      </c>
      <c r="C131" s="40" t="str">
        <f>E78</f>
        <v>Vitesse (km/h)</v>
      </c>
      <c r="D131" s="37">
        <f>IFERROR(IF(AND(_xlfn.ISFORMULA(E79),E79=C79/D79*60),1,0),0)</f>
        <v>0</v>
      </c>
      <c r="E131" s="38">
        <v>1</v>
      </c>
      <c r="F131" s="32"/>
    </row>
    <row r="132" spans="2:6" ht="18" customHeight="1" x14ac:dyDescent="0.3">
      <c r="B132" s="51"/>
      <c r="C132" s="40" t="str">
        <f>B84</f>
        <v>TOTAL</v>
      </c>
      <c r="D132" s="37">
        <f>IFERROR(IF(AND(_xlfn.ISFORMULA(E84),E84=SUM(E79:E83)),1,0),0)</f>
        <v>0</v>
      </c>
      <c r="E132" s="38">
        <v>1</v>
      </c>
      <c r="F132" s="32"/>
    </row>
    <row r="133" spans="2:6" ht="18" x14ac:dyDescent="0.3">
      <c r="B133" s="44" t="s">
        <v>120</v>
      </c>
      <c r="C133" s="45" t="s">
        <v>123</v>
      </c>
      <c r="D133" s="37">
        <v>0</v>
      </c>
      <c r="E133" s="38">
        <v>1</v>
      </c>
      <c r="F133" s="32"/>
    </row>
    <row r="134" spans="2:6" ht="18" customHeight="1" x14ac:dyDescent="0.3">
      <c r="B134" s="44"/>
      <c r="C134" s="45"/>
      <c r="D134" s="37">
        <v>0</v>
      </c>
      <c r="E134" s="38">
        <v>1</v>
      </c>
      <c r="F134" s="32"/>
    </row>
    <row r="135" spans="2:6" ht="35.4" x14ac:dyDescent="0.3">
      <c r="B135" s="32"/>
      <c r="C135" s="41" t="s">
        <v>114</v>
      </c>
      <c r="D135" s="42">
        <f>SUM(D114:D134)</f>
        <v>0</v>
      </c>
      <c r="E135" s="43" t="str">
        <f>_xlfn.CONCAT("/",SUM(E114:E134))</f>
        <v>/20</v>
      </c>
      <c r="F135" s="32"/>
    </row>
  </sheetData>
  <sheetProtection algorithmName="SHA-512" hashValue="pjIUw86zq2L6x4wd4A3lTov9+lcmtc+cxovM3k0mRMeke8KpYEUAwgCjV96q/d4KDs9eG2i1F3mbSDri0S6C4Q==" saltValue="yL9QTthOYbzUk1uVCZtthw==" spinCount="100000" sheet="1" objects="1" scenarios="1"/>
  <mergeCells count="30">
    <mergeCell ref="B86:E86"/>
    <mergeCell ref="B114:B115"/>
    <mergeCell ref="B88:D91"/>
    <mergeCell ref="E88:G91"/>
    <mergeCell ref="B117:B120"/>
    <mergeCell ref="B84:D84"/>
    <mergeCell ref="B53:E53"/>
    <mergeCell ref="B63:E63"/>
    <mergeCell ref="B64:E64"/>
    <mergeCell ref="B75:E75"/>
    <mergeCell ref="B76:E76"/>
    <mergeCell ref="B30:E30"/>
    <mergeCell ref="F30:K30"/>
    <mergeCell ref="L30:Q30"/>
    <mergeCell ref="B52:E52"/>
    <mergeCell ref="C4:E4"/>
    <mergeCell ref="C5:E5"/>
    <mergeCell ref="B7:E7"/>
    <mergeCell ref="F7:K7"/>
    <mergeCell ref="B17:D17"/>
    <mergeCell ref="B20:E20"/>
    <mergeCell ref="F20:K20"/>
    <mergeCell ref="B37:D37"/>
    <mergeCell ref="F52:K52"/>
    <mergeCell ref="B133:B134"/>
    <mergeCell ref="C133:C134"/>
    <mergeCell ref="C112:E112"/>
    <mergeCell ref="B121:B124"/>
    <mergeCell ref="B126:B130"/>
    <mergeCell ref="B131:B132"/>
  </mergeCells>
  <phoneticPr fontId="14" type="noConversion"/>
  <conditionalFormatting sqref="D114:D134">
    <cfRule type="colorScale" priority="1">
      <colorScale>
        <cfvo type="min"/>
        <cfvo type="percentile" val="50"/>
        <cfvo type="max"/>
        <color rgb="FFFF0000"/>
        <color theme="6" tint="0.59999389629810485"/>
        <color theme="6" tint="0.59999389629810485"/>
      </colorScale>
    </cfRule>
  </conditionalFormatting>
  <dataValidations count="1">
    <dataValidation type="list" allowBlank="1" showInputMessage="1" showErrorMessage="1" sqref="C5:E5" xr:uid="{14A15591-6D9F-41C4-A47A-D285E48B06E3}">
      <formula1>$AE$8:$AE$16</formula1>
    </dataValidation>
  </dataValidations>
  <pageMargins left="0.25" right="0.25" top="0.75" bottom="0.75" header="0.3" footer="0.3"/>
  <pageSetup paperSize="9" fitToWidth="0" orientation="portrait" horizontalDpi="300" verticalDpi="300" r:id="rId1"/>
  <ignoredErrors>
    <ignoredError sqref="H4:H5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Exercices de Révision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cp:lastPrinted>2026-02-08T15:16:32Z</cp:lastPrinted>
  <dcterms:created xsi:type="dcterms:W3CDTF">2026-02-08T00:53:29Z</dcterms:created>
  <dcterms:modified xsi:type="dcterms:W3CDTF">2026-02-09T19:48:18Z</dcterms:modified>
</cp:coreProperties>
</file>