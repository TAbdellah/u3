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to\OneDrive\Documents\GitHub\u3\TP2026\"/>
    </mc:Choice>
  </mc:AlternateContent>
  <xr:revisionPtr revIDLastSave="0" documentId="13_ncr:1_{6559B639-B9E0-4B05-944B-557746104298}" xr6:coauthVersionLast="47" xr6:coauthVersionMax="47" xr10:uidLastSave="{00000000-0000-0000-0000-000000000000}"/>
  <bookViews>
    <workbookView xWindow="-108" yWindow="-108" windowWidth="23256" windowHeight="12456" xr2:uid="{B34ACCB5-62F6-4EA0-8108-06A5FEB33E01}"/>
  </bookViews>
  <sheets>
    <sheet name="S7-Ar" sheetId="1" r:id="rId1"/>
    <sheet name="S7-Fr" sheetId="2" r:id="rId2"/>
    <sheet name="correction" sheetId="3" r:id="rId3"/>
  </sheets>
  <definedNames>
    <definedName name="classe">'S7-Fr'!$L$74:$L$82</definedName>
    <definedName name="tt">'S7-Fr'!$A$1:$F$18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H18" i="3"/>
  <c r="C18" i="3"/>
  <c r="H17" i="3"/>
  <c r="C17" i="3"/>
  <c r="H16" i="3"/>
  <c r="C16" i="3"/>
  <c r="H15" i="3"/>
  <c r="H14" i="3"/>
  <c r="H13" i="3"/>
  <c r="C13" i="3"/>
  <c r="H12" i="3"/>
  <c r="C12" i="3"/>
  <c r="H11" i="3"/>
  <c r="C11" i="3"/>
  <c r="H10" i="3"/>
  <c r="C10" i="3"/>
  <c r="H9" i="3"/>
  <c r="C9" i="3"/>
  <c r="G5" i="3"/>
  <c r="B5" i="3"/>
  <c r="G4" i="3"/>
  <c r="B4" i="3"/>
  <c r="G2" i="3"/>
  <c r="B2" i="3"/>
  <c r="H19" i="3" l="1"/>
  <c r="C14" i="3"/>
  <c r="C19" i="3" s="1"/>
</calcChain>
</file>

<file path=xl/sharedStrings.xml><?xml version="1.0" encoding="utf-8"?>
<sst xmlns="http://schemas.openxmlformats.org/spreadsheetml/2006/main" count="137" uniqueCount="70">
  <si>
    <t>الاستهلاك اليومي للأجهزة الكهربائية</t>
  </si>
  <si>
    <t>الجهاز</t>
  </si>
  <si>
    <t>عدد الأجهزة</t>
  </si>
  <si>
    <t>القدرة بالواط</t>
  </si>
  <si>
    <t>الساعات في اليوم</t>
  </si>
  <si>
    <t>الاستهلاك في اليوم (kWh)</t>
  </si>
  <si>
    <t xml:space="preserve">الكلفة (بالدرهم) </t>
  </si>
  <si>
    <t>الثلاجة</t>
  </si>
  <si>
    <t>?</t>
  </si>
  <si>
    <t>التلفاز</t>
  </si>
  <si>
    <t>الحاسوب</t>
  </si>
  <si>
    <t>الغسالة</t>
  </si>
  <si>
    <t>المكيف</t>
  </si>
  <si>
    <t>المصابيح</t>
  </si>
  <si>
    <t>الشواحن</t>
  </si>
  <si>
    <t>الاستهلاك الإجمالي في اليوم (kWh)</t>
  </si>
  <si>
    <t>الاسم الكامل</t>
  </si>
  <si>
    <t>الاستهلاك الشهري (kWh)</t>
  </si>
  <si>
    <t>….............................................</t>
  </si>
  <si>
    <t>الاستهلاك المتوسط</t>
  </si>
  <si>
    <t>القسم</t>
  </si>
  <si>
    <t>الاستهلاك الأقصى</t>
  </si>
  <si>
    <t>2/2</t>
  </si>
  <si>
    <t>الاستهلاك الأدنى</t>
  </si>
  <si>
    <t>التكلفة الإجمالية في اليوم بالدرهم</t>
  </si>
  <si>
    <t>تكلفة الطاقة الشهرية (DH)</t>
  </si>
  <si>
    <t>Consommation quotidienne des appareils</t>
  </si>
  <si>
    <t>Appareil</t>
  </si>
  <si>
    <t>Nombre d'appareil</t>
  </si>
  <si>
    <t>Puissance (W)</t>
  </si>
  <si>
    <t>Heures / jour</t>
  </si>
  <si>
    <t>Consommation  (kWh)</t>
  </si>
  <si>
    <t>Coût (DH)</t>
  </si>
  <si>
    <t>Réfrigérateur</t>
  </si>
  <si>
    <t>Télévision</t>
  </si>
  <si>
    <t>Ordinateur</t>
  </si>
  <si>
    <t>Machine à laver</t>
  </si>
  <si>
    <t>Climatiseur</t>
  </si>
  <si>
    <t>Lampes</t>
  </si>
  <si>
    <t>Chargeurs</t>
  </si>
  <si>
    <t>Consommation totale / jour</t>
  </si>
  <si>
    <t>Nom complet</t>
  </si>
  <si>
    <t>Consommation mensuelle</t>
  </si>
  <si>
    <t>Consommation moyenne</t>
  </si>
  <si>
    <t>Classe</t>
  </si>
  <si>
    <t>Consommation maximale</t>
  </si>
  <si>
    <t>Consommation minimale</t>
  </si>
  <si>
    <t>Nombre d’appareils</t>
  </si>
  <si>
    <t>Coût total / jour (DH)</t>
  </si>
  <si>
    <t>Coût énergie mensuel (DH)</t>
  </si>
  <si>
    <t>2/1</t>
  </si>
  <si>
    <t>2/3</t>
  </si>
  <si>
    <t>2/4</t>
  </si>
  <si>
    <t>2/5</t>
  </si>
  <si>
    <t>2/6</t>
  </si>
  <si>
    <t>2/7</t>
  </si>
  <si>
    <t>2/8</t>
  </si>
  <si>
    <t>2/9</t>
  </si>
  <si>
    <t>Réservée aux correction automatique</t>
  </si>
  <si>
    <t>Question</t>
  </si>
  <si>
    <t>note</t>
  </si>
  <si>
    <t>Conso/jour(kWh)</t>
  </si>
  <si>
    <t>Coût/jour(DH)</t>
  </si>
  <si>
    <t>Conso totale/jour(kWh)</t>
  </si>
  <si>
    <t>Conso mensuelle(kWh)</t>
  </si>
  <si>
    <t>Conso moyenne</t>
  </si>
  <si>
    <t>Conso maximale</t>
  </si>
  <si>
    <t>Conso minimale</t>
  </si>
  <si>
    <t>Nombre d’appareils (NB)</t>
  </si>
  <si>
    <t>Note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</si>
</sst>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name val="Sakkal Majalla"/>
    </font>
    <font>
      <sz val="12"/>
      <color theme="1"/>
      <name val="Sakkal Majalla"/>
    </font>
    <font>
      <sz val="12"/>
      <name val="Sakkal Majalla"/>
    </font>
    <font>
      <b/>
      <sz val="12"/>
      <color rgb="FFFF0000"/>
      <name val="Sakkal Majalla"/>
    </font>
    <font>
      <b/>
      <sz val="12"/>
      <color theme="1"/>
      <name val="Sakkal Majalla"/>
    </font>
    <font>
      <sz val="12"/>
      <color theme="1"/>
      <name val="Aptos Narrow"/>
      <family val="2"/>
      <scheme val="minor"/>
    </font>
    <font>
      <b/>
      <sz val="12"/>
      <color theme="0"/>
      <name val="Sakkal Majalla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rgb="FFFF0000"/>
      </left>
      <right/>
      <top style="mediumDashed">
        <color rgb="FFFF0000"/>
      </top>
      <bottom style="mediumDashed">
        <color rgb="FFFF0000"/>
      </bottom>
      <diagonal/>
    </border>
    <border>
      <left/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 style="mediumDashed">
        <color rgb="FFFF0000"/>
      </left>
      <right style="thin">
        <color indexed="64"/>
      </right>
      <top style="mediumDashed">
        <color rgb="FFFF0000"/>
      </top>
      <bottom style="thin">
        <color indexed="64"/>
      </bottom>
      <diagonal/>
    </border>
    <border>
      <left style="thin">
        <color indexed="64"/>
      </left>
      <right style="mediumDashed">
        <color rgb="FFFF0000"/>
      </right>
      <top style="mediumDashed">
        <color rgb="FFFF0000"/>
      </top>
      <bottom style="thin">
        <color indexed="64"/>
      </bottom>
      <diagonal/>
    </border>
    <border>
      <left style="mediumDashed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rgb="FFFF0000"/>
      </right>
      <top style="thin">
        <color indexed="64"/>
      </top>
      <bottom style="thin">
        <color indexed="64"/>
      </bottom>
      <diagonal/>
    </border>
    <border>
      <left style="mediumDashed">
        <color rgb="FFFF0000"/>
      </left>
      <right style="thin">
        <color indexed="64"/>
      </right>
      <top style="thin">
        <color indexed="64"/>
      </top>
      <bottom style="mediumDashed">
        <color rgb="FFFF0000"/>
      </bottom>
      <diagonal/>
    </border>
    <border>
      <left style="thin">
        <color indexed="64"/>
      </left>
      <right style="mediumDashed">
        <color rgb="FFFF0000"/>
      </right>
      <top style="thin">
        <color indexed="64"/>
      </top>
      <bottom style="mediumDashed">
        <color rgb="FFFF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 vertical="center" wrapText="1"/>
      <protection locked="0"/>
    </xf>
    <xf numFmtId="2" fontId="4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3" borderId="8" xfId="0" applyFont="1" applyFill="1" applyBorder="1" applyAlignment="1" applyProtection="1">
      <alignment horizontal="center" vertical="center"/>
      <protection hidden="1"/>
    </xf>
    <xf numFmtId="0" fontId="5" fillId="3" borderId="9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2" borderId="1" xfId="0" quotePrefix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2" borderId="1" xfId="0" quotePrefix="1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14" fontId="8" fillId="2" borderId="1" xfId="0" applyNumberFormat="1" applyFont="1" applyFill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3" xfId="0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218174</xdr:rowOff>
    </xdr:from>
    <xdr:to>
      <xdr:col>13</xdr:col>
      <xdr:colOff>283939</xdr:colOff>
      <xdr:row>15</xdr:row>
      <xdr:rowOff>145472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2DA49E3B-715F-4AE4-A9AE-9A5BA26E1C5A}"/>
            </a:ext>
          </a:extLst>
        </xdr:cNvPr>
        <xdr:cNvGrpSpPr/>
      </xdr:nvGrpSpPr>
      <xdr:grpSpPr>
        <a:xfrm>
          <a:off x="12247605297" y="218174"/>
          <a:ext cx="5514030" cy="3356298"/>
          <a:chOff x="12247321280" y="432920"/>
          <a:chExt cx="5514029" cy="3404789"/>
        </a:xfrm>
      </xdr:grpSpPr>
      <xdr:pic>
        <xdr:nvPicPr>
          <xdr:cNvPr id="3" name="Image 2">
            <a:extLst>
              <a:ext uri="{FF2B5EF4-FFF2-40B4-BE49-F238E27FC236}">
                <a16:creationId xmlns:a16="http://schemas.microsoft.com/office/drawing/2014/main" id="{5DEA0295-0CFF-BB14-CAE1-A88B17606C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247328127" y="432920"/>
            <a:ext cx="5507182" cy="2919818"/>
          </a:xfrm>
          <a:prstGeom prst="rect">
            <a:avLst/>
          </a:prstGeom>
        </xdr:spPr>
      </xdr:pic>
      <xdr:sp macro="" textlink="">
        <xdr:nvSpPr>
          <xdr:cNvPr id="4" name="ZoneTexte 3">
            <a:extLst>
              <a:ext uri="{FF2B5EF4-FFF2-40B4-BE49-F238E27FC236}">
                <a16:creationId xmlns:a16="http://schemas.microsoft.com/office/drawing/2014/main" id="{005635E4-A89B-024C-03F2-3ADECE7EC01D}"/>
              </a:ext>
            </a:extLst>
          </xdr:cNvPr>
          <xdr:cNvSpPr txBox="1"/>
        </xdr:nvSpPr>
        <xdr:spPr>
          <a:xfrm>
            <a:off x="12247321280" y="1952029"/>
            <a:ext cx="3408138" cy="1885680"/>
          </a:xfrm>
          <a:prstGeom prst="rect">
            <a:avLst/>
          </a:prstGeom>
          <a:solidFill>
            <a:srgbClr val="CCFF99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 rtl="1"/>
            <a:r>
              <a:rPr lang="ar-MA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الاستهلاك في اليوم = عدد الأجهزة × القدرة بالواط ×  الساعات في اليوم ÷ 1000</a:t>
            </a:r>
          </a:p>
          <a:p>
            <a:pPr algn="r" rtl="1"/>
            <a:r>
              <a:rPr lang="ar-MA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الكلفة (بالدرهم) = </a:t>
            </a:r>
            <a:r>
              <a:rPr lang="ar-MA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الاستهلاك في اليوم</a:t>
            </a:r>
            <a:r>
              <a:rPr lang="en-US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× </a:t>
            </a:r>
            <a:r>
              <a:rPr lang="ar-MA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 ثمن الكيلوواط ساعة (0,9 درهم)</a:t>
            </a:r>
          </a:p>
          <a:p>
            <a:pPr algn="r" rtl="1"/>
            <a:r>
              <a:rPr lang="ar-MA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الاستهلاك الإجمالي في اليوم = مجموع استهلاك جميع الأجهزة الكهربائية</a:t>
            </a:r>
          </a:p>
          <a:p>
            <a:pPr algn="r" rtl="1"/>
            <a:r>
              <a:rPr lang="ar-MA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الاستهلاك الشهري = الاستهلاك الإجمالي في اليوم × 30</a:t>
            </a:r>
          </a:p>
          <a:p>
            <a:pPr algn="r" rtl="1"/>
            <a:r>
              <a:rPr lang="ar-MA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الاستهلاك المتوسط = الاستهلاك الإجمالي ÷ عدد الأجهزة</a:t>
            </a:r>
          </a:p>
          <a:p>
            <a:pPr algn="r" rtl="1"/>
            <a:r>
              <a:rPr lang="ar-MA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أقصى استهلاك = أكبر قيمة للاستهلاك</a:t>
            </a:r>
          </a:p>
          <a:p>
            <a:pPr algn="r" rtl="1"/>
            <a:r>
              <a:rPr lang="ar-MA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أدنى استهلاك = أصغر قيمة للاستهلاك</a:t>
            </a:r>
          </a:p>
          <a:p>
            <a:pPr algn="r" rtl="1"/>
            <a:r>
              <a:rPr lang="ar-MA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الكلفة الإجمالية في اليوم = مجموع الكلفة اليومية لجميع الأجهزة</a:t>
            </a:r>
          </a:p>
          <a:p>
            <a:pPr algn="r" rtl="1"/>
            <a:r>
              <a:rPr lang="ar-MA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كلفة الطاقة الشهرية = الكلفة الإجمالية في اليوم × 30</a:t>
            </a:r>
            <a:endParaRPr lang="en-US" sz="1100" b="1">
              <a:latin typeface="Sakkal Majalla" panose="02000000000000000000" pitchFamily="2" charset="-78"/>
              <a:cs typeface="Sakkal Majalla" panose="02000000000000000000" pitchFamily="2" charset="-78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43918</xdr:colOff>
      <xdr:row>1</xdr:row>
      <xdr:rowOff>41563</xdr:rowOff>
    </xdr:from>
    <xdr:to>
      <xdr:col>15</xdr:col>
      <xdr:colOff>83127</xdr:colOff>
      <xdr:row>17</xdr:row>
      <xdr:rowOff>110836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FAF8E2A9-C522-441D-8BD9-90DD404B1E7F}"/>
            </a:ext>
          </a:extLst>
        </xdr:cNvPr>
        <xdr:cNvGrpSpPr/>
      </xdr:nvGrpSpPr>
      <xdr:grpSpPr>
        <a:xfrm>
          <a:off x="6645609" y="290945"/>
          <a:ext cx="6052082" cy="3955473"/>
          <a:chOff x="6728736" y="83127"/>
          <a:chExt cx="6052082" cy="3955473"/>
        </a:xfrm>
      </xdr:grpSpPr>
      <xdr:pic>
        <xdr:nvPicPr>
          <xdr:cNvPr id="3" name="Image 2">
            <a:extLst>
              <a:ext uri="{FF2B5EF4-FFF2-40B4-BE49-F238E27FC236}">
                <a16:creationId xmlns:a16="http://schemas.microsoft.com/office/drawing/2014/main" id="{AB491AC0-1BCE-C718-A131-A61F26680D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728736" y="83127"/>
            <a:ext cx="4573859" cy="3521761"/>
          </a:xfrm>
          <a:prstGeom prst="rect">
            <a:avLst/>
          </a:prstGeom>
        </xdr:spPr>
      </xdr:pic>
      <xdr:sp macro="" textlink="">
        <xdr:nvSpPr>
          <xdr:cNvPr id="4" name="ZoneTexte 3">
            <a:extLst>
              <a:ext uri="{FF2B5EF4-FFF2-40B4-BE49-F238E27FC236}">
                <a16:creationId xmlns:a16="http://schemas.microsoft.com/office/drawing/2014/main" id="{112B63A9-2BC6-433C-D60F-B681FD13BA29}"/>
              </a:ext>
            </a:extLst>
          </xdr:cNvPr>
          <xdr:cNvSpPr txBox="1"/>
        </xdr:nvSpPr>
        <xdr:spPr>
          <a:xfrm>
            <a:off x="8915396" y="2010126"/>
            <a:ext cx="3865422" cy="2028474"/>
          </a:xfrm>
          <a:prstGeom prst="rect">
            <a:avLst/>
          </a:prstGeom>
          <a:solidFill>
            <a:srgbClr val="CCFF99"/>
          </a:solidFill>
          <a:ln w="9525" cmpd="sng">
            <a:solidFill>
              <a:srgbClr val="CCFF99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Consommation (kWh)</a:t>
            </a:r>
            <a:r>
              <a:rPr lang="en-US" sz="1100">
                <a:latin typeface="Sakkal Majalla" panose="02000000000000000000" pitchFamily="2" charset="-78"/>
                <a:cs typeface="Sakkal Majalla" panose="02000000000000000000" pitchFamily="2" charset="-78"/>
              </a:rPr>
              <a:t> = (Nombre d’appareil × Puissance (W) × Heures/jour) ÷ 1000</a:t>
            </a:r>
          </a:p>
          <a:p>
            <a:r>
              <a:rPr lang="en-US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Coût (DH)</a:t>
            </a:r>
            <a:r>
              <a:rPr lang="en-US" sz="1100">
                <a:latin typeface="Sakkal Majalla" panose="02000000000000000000" pitchFamily="2" charset="-78"/>
                <a:cs typeface="Sakkal Majalla" panose="02000000000000000000" pitchFamily="2" charset="-78"/>
              </a:rPr>
              <a:t> = Consommation (kWh) × Prix du kWh (0,9 DH)</a:t>
            </a:r>
          </a:p>
          <a:p>
            <a:r>
              <a:rPr lang="en-US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Consommation totale / jour</a:t>
            </a:r>
            <a:r>
              <a:rPr lang="en-US" sz="1100">
                <a:latin typeface="Sakkal Majalla" panose="02000000000000000000" pitchFamily="2" charset="-78"/>
                <a:cs typeface="Sakkal Majalla" panose="02000000000000000000" pitchFamily="2" charset="-78"/>
              </a:rPr>
              <a:t> = Somme des consommations</a:t>
            </a:r>
          </a:p>
          <a:p>
            <a:r>
              <a:rPr lang="en-US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Consommation mensuelle</a:t>
            </a:r>
            <a:r>
              <a:rPr lang="en-US" sz="1100">
                <a:latin typeface="Sakkal Majalla" panose="02000000000000000000" pitchFamily="2" charset="-78"/>
                <a:cs typeface="Sakkal Majalla" panose="02000000000000000000" pitchFamily="2" charset="-78"/>
              </a:rPr>
              <a:t> = Consommation totale × 30</a:t>
            </a:r>
          </a:p>
          <a:p>
            <a:r>
              <a:rPr lang="en-US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Consommation moyenne</a:t>
            </a:r>
            <a:r>
              <a:rPr lang="en-US" sz="1100">
                <a:latin typeface="Sakkal Majalla" panose="02000000000000000000" pitchFamily="2" charset="-78"/>
                <a:cs typeface="Sakkal Majalla" panose="02000000000000000000" pitchFamily="2" charset="-78"/>
              </a:rPr>
              <a:t> = Consommation totale ÷ Nombre d’appareils</a:t>
            </a:r>
          </a:p>
          <a:p>
            <a:r>
              <a:rPr lang="en-US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Consommation maximale</a:t>
            </a:r>
            <a:r>
              <a:rPr lang="en-US" sz="1100">
                <a:latin typeface="Sakkal Majalla" panose="02000000000000000000" pitchFamily="2" charset="-78"/>
                <a:cs typeface="Sakkal Majalla" panose="02000000000000000000" pitchFamily="2" charset="-78"/>
              </a:rPr>
              <a:t> = Plus grande consommation</a:t>
            </a:r>
          </a:p>
          <a:p>
            <a:r>
              <a:rPr lang="en-US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Consommation minimale</a:t>
            </a:r>
            <a:r>
              <a:rPr lang="en-US" sz="1100">
                <a:latin typeface="Sakkal Majalla" panose="02000000000000000000" pitchFamily="2" charset="-78"/>
                <a:cs typeface="Sakkal Majalla" panose="02000000000000000000" pitchFamily="2" charset="-78"/>
              </a:rPr>
              <a:t> = Plus petite consommation</a:t>
            </a:r>
          </a:p>
          <a:p>
            <a:r>
              <a:rPr lang="en-US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Coût total / jour</a:t>
            </a:r>
            <a:r>
              <a:rPr lang="en-US" sz="1100">
                <a:latin typeface="Sakkal Majalla" panose="02000000000000000000" pitchFamily="2" charset="-78"/>
                <a:cs typeface="Sakkal Majalla" panose="02000000000000000000" pitchFamily="2" charset="-78"/>
              </a:rPr>
              <a:t> = Somme des coûts</a:t>
            </a:r>
          </a:p>
          <a:p>
            <a:r>
              <a:rPr lang="en-US" sz="1100" b="1">
                <a:latin typeface="Sakkal Majalla" panose="02000000000000000000" pitchFamily="2" charset="-78"/>
                <a:cs typeface="Sakkal Majalla" panose="02000000000000000000" pitchFamily="2" charset="-78"/>
              </a:rPr>
              <a:t>Coût énergie mensuel</a:t>
            </a:r>
            <a:r>
              <a:rPr lang="en-US" sz="1100">
                <a:latin typeface="Sakkal Majalla" panose="02000000000000000000" pitchFamily="2" charset="-78"/>
                <a:cs typeface="Sakkal Majalla" panose="02000000000000000000" pitchFamily="2" charset="-78"/>
              </a:rPr>
              <a:t> = Coût total × 30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BDCA-A6A6-4C17-8A1D-6409B643F828}">
  <dimension ref="A1:F18"/>
  <sheetViews>
    <sheetView rightToLeft="1" tabSelected="1" zoomScale="110" zoomScaleNormal="110" workbookViewId="0">
      <selection activeCell="F12" sqref="F12"/>
    </sheetView>
  </sheetViews>
  <sheetFormatPr baseColWidth="10" defaultColWidth="10.88671875" defaultRowHeight="18" x14ac:dyDescent="0.3"/>
  <cols>
    <col min="1" max="1" width="25.109375" style="2" customWidth="1"/>
    <col min="2" max="2" width="8.5546875" style="2" bestFit="1" customWidth="1"/>
    <col min="3" max="3" width="9.88671875" style="2" bestFit="1" customWidth="1"/>
    <col min="4" max="4" width="12" style="2" bestFit="1" customWidth="1"/>
    <col min="5" max="5" width="17.6640625" style="2" bestFit="1" customWidth="1"/>
    <col min="6" max="6" width="16.44140625" style="2" bestFit="1" customWidth="1"/>
    <col min="7" max="8" width="10.88671875" style="2"/>
    <col min="9" max="9" width="9.6640625" style="2" customWidth="1"/>
    <col min="10" max="10" width="22.88671875" style="2" customWidth="1"/>
    <col min="11" max="16384" width="10.88671875" style="2"/>
  </cols>
  <sheetData>
    <row r="1" spans="1:6" x14ac:dyDescent="0.3">
      <c r="A1" s="19" t="s">
        <v>0</v>
      </c>
      <c r="B1" s="19"/>
      <c r="C1" s="19"/>
      <c r="D1" s="19"/>
      <c r="E1" s="19"/>
      <c r="F1" s="19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1" t="s">
        <v>7</v>
      </c>
      <c r="B3" s="3">
        <v>1</v>
      </c>
      <c r="C3" s="3">
        <v>150</v>
      </c>
      <c r="D3" s="3">
        <v>24</v>
      </c>
      <c r="E3" s="4" t="s">
        <v>8</v>
      </c>
      <c r="F3" s="4" t="s">
        <v>8</v>
      </c>
    </row>
    <row r="4" spans="1:6" x14ac:dyDescent="0.3">
      <c r="A4" s="1" t="s">
        <v>9</v>
      </c>
      <c r="B4" s="3">
        <v>2</v>
      </c>
      <c r="C4" s="3">
        <v>120</v>
      </c>
      <c r="D4" s="3">
        <v>6</v>
      </c>
      <c r="E4" s="4" t="s">
        <v>8</v>
      </c>
      <c r="F4" s="4" t="s">
        <v>8</v>
      </c>
    </row>
    <row r="5" spans="1:6" x14ac:dyDescent="0.3">
      <c r="A5" s="1" t="s">
        <v>10</v>
      </c>
      <c r="B5" s="3">
        <v>2</v>
      </c>
      <c r="C5" s="3">
        <v>300</v>
      </c>
      <c r="D5" s="3">
        <v>5</v>
      </c>
      <c r="E5" s="4" t="s">
        <v>8</v>
      </c>
      <c r="F5" s="4" t="s">
        <v>8</v>
      </c>
    </row>
    <row r="6" spans="1:6" x14ac:dyDescent="0.3">
      <c r="A6" s="1" t="s">
        <v>11</v>
      </c>
      <c r="B6" s="3">
        <v>1</v>
      </c>
      <c r="C6" s="3">
        <v>2000</v>
      </c>
      <c r="D6" s="3">
        <v>1</v>
      </c>
      <c r="E6" s="4" t="s">
        <v>8</v>
      </c>
      <c r="F6" s="4" t="s">
        <v>8</v>
      </c>
    </row>
    <row r="7" spans="1:6" x14ac:dyDescent="0.3">
      <c r="A7" s="1" t="s">
        <v>12</v>
      </c>
      <c r="B7" s="3">
        <v>1</v>
      </c>
      <c r="C7" s="3">
        <v>1500</v>
      </c>
      <c r="D7" s="3">
        <v>7</v>
      </c>
      <c r="E7" s="4" t="s">
        <v>8</v>
      </c>
      <c r="F7" s="4" t="s">
        <v>8</v>
      </c>
    </row>
    <row r="8" spans="1:6" x14ac:dyDescent="0.3">
      <c r="A8" s="1" t="s">
        <v>13</v>
      </c>
      <c r="B8" s="3">
        <v>10</v>
      </c>
      <c r="C8" s="3">
        <v>60</v>
      </c>
      <c r="D8" s="3">
        <v>6</v>
      </c>
      <c r="E8" s="4" t="s">
        <v>8</v>
      </c>
      <c r="F8" s="4" t="s">
        <v>8</v>
      </c>
    </row>
    <row r="9" spans="1:6" x14ac:dyDescent="0.3">
      <c r="A9" s="1" t="s">
        <v>14</v>
      </c>
      <c r="B9" s="3">
        <v>4</v>
      </c>
      <c r="C9" s="3">
        <v>10</v>
      </c>
      <c r="D9" s="3">
        <v>24</v>
      </c>
      <c r="E9" s="4" t="s">
        <v>8</v>
      </c>
      <c r="F9" s="4" t="s">
        <v>8</v>
      </c>
    </row>
    <row r="11" spans="1:6" x14ac:dyDescent="0.3">
      <c r="A11" s="5" t="s">
        <v>15</v>
      </c>
      <c r="B11" s="4" t="s">
        <v>8</v>
      </c>
      <c r="D11" s="20" t="s">
        <v>16</v>
      </c>
      <c r="E11" s="20"/>
    </row>
    <row r="12" spans="1:6" x14ac:dyDescent="0.3">
      <c r="A12" s="5" t="s">
        <v>17</v>
      </c>
      <c r="B12" s="4" t="s">
        <v>8</v>
      </c>
      <c r="D12" s="21" t="s">
        <v>18</v>
      </c>
      <c r="E12" s="22"/>
    </row>
    <row r="13" spans="1:6" x14ac:dyDescent="0.3">
      <c r="A13" s="5" t="s">
        <v>19</v>
      </c>
      <c r="B13" s="4" t="s">
        <v>8</v>
      </c>
      <c r="D13" s="20" t="s">
        <v>20</v>
      </c>
      <c r="E13" s="20"/>
    </row>
    <row r="14" spans="1:6" x14ac:dyDescent="0.3">
      <c r="A14" s="5" t="s">
        <v>21</v>
      </c>
      <c r="B14" s="4" t="s">
        <v>8</v>
      </c>
      <c r="D14" s="23" t="s">
        <v>22</v>
      </c>
      <c r="E14" s="23"/>
    </row>
    <row r="15" spans="1:6" x14ac:dyDescent="0.3">
      <c r="A15" s="5" t="s">
        <v>23</v>
      </c>
      <c r="B15" s="4" t="s">
        <v>8</v>
      </c>
    </row>
    <row r="16" spans="1:6" x14ac:dyDescent="0.3">
      <c r="A16" s="5" t="s">
        <v>2</v>
      </c>
      <c r="B16" s="4" t="s">
        <v>8</v>
      </c>
    </row>
    <row r="17" spans="1:2" x14ac:dyDescent="0.3">
      <c r="A17" s="5" t="s">
        <v>24</v>
      </c>
      <c r="B17" s="4" t="s">
        <v>8</v>
      </c>
    </row>
    <row r="18" spans="1:2" x14ac:dyDescent="0.3">
      <c r="A18" s="5" t="s">
        <v>25</v>
      </c>
      <c r="B18" s="4" t="s">
        <v>8</v>
      </c>
    </row>
  </sheetData>
  <mergeCells count="5">
    <mergeCell ref="A1:F1"/>
    <mergeCell ref="D11:E11"/>
    <mergeCell ref="D12:E12"/>
    <mergeCell ref="D13:E13"/>
    <mergeCell ref="D14:E14"/>
  </mergeCells>
  <dataValidations count="1">
    <dataValidation type="list" allowBlank="1" showInputMessage="1" showErrorMessage="1" sqref="D14:E14" xr:uid="{B03F114D-8C35-47CE-B38E-D6B0C3FAA0A8}">
      <formula1>classe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6553-D0BC-4190-9160-F0D96932E922}">
  <dimension ref="A1:L83"/>
  <sheetViews>
    <sheetView zoomScale="110" workbookViewId="0">
      <selection activeCell="G17" sqref="G17"/>
    </sheetView>
  </sheetViews>
  <sheetFormatPr baseColWidth="10" defaultColWidth="10.88671875" defaultRowHeight="18" x14ac:dyDescent="0.3"/>
  <cols>
    <col min="1" max="2" width="13.5546875" style="6" customWidth="1"/>
    <col min="3" max="3" width="11.21875" style="6" bestFit="1" customWidth="1"/>
    <col min="4" max="4" width="10.44140625" style="6" bestFit="1" customWidth="1"/>
    <col min="5" max="5" width="21.6640625" style="6" bestFit="1" customWidth="1"/>
    <col min="6" max="6" width="12.77734375" style="6" bestFit="1" customWidth="1"/>
    <col min="7" max="7" width="13" style="6" customWidth="1"/>
    <col min="8" max="8" width="12.5546875" style="6" customWidth="1"/>
    <col min="9" max="9" width="9.6640625" style="6" customWidth="1"/>
    <col min="10" max="16384" width="10.88671875" style="6"/>
  </cols>
  <sheetData>
    <row r="1" spans="1:7" ht="19.95" customHeight="1" x14ac:dyDescent="0.3">
      <c r="A1" s="19" t="s">
        <v>26</v>
      </c>
      <c r="B1" s="19"/>
      <c r="C1" s="19"/>
      <c r="D1" s="19"/>
      <c r="E1" s="19"/>
      <c r="F1" s="19"/>
    </row>
    <row r="2" spans="1:7" ht="36" x14ac:dyDescent="0.3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</row>
    <row r="3" spans="1:7" x14ac:dyDescent="0.3">
      <c r="A3" s="1" t="s">
        <v>33</v>
      </c>
      <c r="B3" s="3">
        <v>1</v>
      </c>
      <c r="C3" s="3">
        <v>150</v>
      </c>
      <c r="D3" s="3">
        <v>24</v>
      </c>
      <c r="E3" s="7" t="s">
        <v>8</v>
      </c>
      <c r="F3" s="7" t="s">
        <v>8</v>
      </c>
    </row>
    <row r="4" spans="1:7" x14ac:dyDescent="0.3">
      <c r="A4" s="1" t="s">
        <v>34</v>
      </c>
      <c r="B4" s="3">
        <v>2</v>
      </c>
      <c r="C4" s="3">
        <v>120</v>
      </c>
      <c r="D4" s="3">
        <v>6</v>
      </c>
      <c r="E4" s="7" t="s">
        <v>8</v>
      </c>
      <c r="F4" s="7" t="s">
        <v>8</v>
      </c>
    </row>
    <row r="5" spans="1:7" x14ac:dyDescent="0.3">
      <c r="A5" s="1" t="s">
        <v>35</v>
      </c>
      <c r="B5" s="3">
        <v>2</v>
      </c>
      <c r="C5" s="3">
        <v>300</v>
      </c>
      <c r="D5" s="3">
        <v>5</v>
      </c>
      <c r="E5" s="7" t="s">
        <v>8</v>
      </c>
      <c r="F5" s="7" t="s">
        <v>8</v>
      </c>
    </row>
    <row r="6" spans="1:7" x14ac:dyDescent="0.3">
      <c r="A6" s="1" t="s">
        <v>36</v>
      </c>
      <c r="B6" s="3">
        <v>1</v>
      </c>
      <c r="C6" s="3">
        <v>2000</v>
      </c>
      <c r="D6" s="3">
        <v>1</v>
      </c>
      <c r="E6" s="7" t="s">
        <v>8</v>
      </c>
      <c r="F6" s="7" t="s">
        <v>8</v>
      </c>
    </row>
    <row r="7" spans="1:7" x14ac:dyDescent="0.3">
      <c r="A7" s="1" t="s">
        <v>37</v>
      </c>
      <c r="B7" s="3">
        <v>1</v>
      </c>
      <c r="C7" s="3">
        <v>1500</v>
      </c>
      <c r="D7" s="3">
        <v>7</v>
      </c>
      <c r="E7" s="7" t="s">
        <v>8</v>
      </c>
      <c r="F7" s="7" t="s">
        <v>8</v>
      </c>
    </row>
    <row r="8" spans="1:7" x14ac:dyDescent="0.3">
      <c r="A8" s="1" t="s">
        <v>38</v>
      </c>
      <c r="B8" s="3">
        <v>10</v>
      </c>
      <c r="C8" s="3">
        <v>60</v>
      </c>
      <c r="D8" s="3">
        <v>6</v>
      </c>
      <c r="E8" s="7" t="s">
        <v>8</v>
      </c>
      <c r="F8" s="7" t="s">
        <v>8</v>
      </c>
    </row>
    <row r="9" spans="1:7" x14ac:dyDescent="0.3">
      <c r="A9" s="1" t="s">
        <v>39</v>
      </c>
      <c r="B9" s="3">
        <v>4</v>
      </c>
      <c r="C9" s="3">
        <v>10</v>
      </c>
      <c r="D9" s="3">
        <v>24</v>
      </c>
      <c r="E9" s="7" t="s">
        <v>8</v>
      </c>
      <c r="F9" s="7" t="s">
        <v>8</v>
      </c>
    </row>
    <row r="11" spans="1:7" x14ac:dyDescent="0.3">
      <c r="A11" s="24" t="s">
        <v>40</v>
      </c>
      <c r="B11" s="24"/>
      <c r="C11" s="7" t="s">
        <v>8</v>
      </c>
      <c r="E11" s="20" t="s">
        <v>41</v>
      </c>
      <c r="F11" s="20"/>
      <c r="G11" s="8"/>
    </row>
    <row r="12" spans="1:7" x14ac:dyDescent="0.3">
      <c r="A12" s="24" t="s">
        <v>42</v>
      </c>
      <c r="B12" s="24"/>
      <c r="C12" s="7" t="s">
        <v>8</v>
      </c>
      <c r="E12" s="21" t="s">
        <v>18</v>
      </c>
      <c r="F12" s="22"/>
      <c r="G12" s="9"/>
    </row>
    <row r="13" spans="1:7" x14ac:dyDescent="0.3">
      <c r="A13" s="24" t="s">
        <v>43</v>
      </c>
      <c r="B13" s="24"/>
      <c r="C13" s="7" t="s">
        <v>8</v>
      </c>
      <c r="E13" s="20" t="s">
        <v>44</v>
      </c>
      <c r="F13" s="20"/>
    </row>
    <row r="14" spans="1:7" x14ac:dyDescent="0.3">
      <c r="A14" s="24" t="s">
        <v>45</v>
      </c>
      <c r="B14" s="24"/>
      <c r="C14" s="7" t="s">
        <v>8</v>
      </c>
      <c r="E14" s="23" t="s">
        <v>22</v>
      </c>
      <c r="F14" s="23"/>
    </row>
    <row r="15" spans="1:7" x14ac:dyDescent="0.3">
      <c r="A15" s="24" t="s">
        <v>46</v>
      </c>
      <c r="B15" s="24"/>
      <c r="C15" s="7" t="s">
        <v>8</v>
      </c>
    </row>
    <row r="16" spans="1:7" x14ac:dyDescent="0.3">
      <c r="A16" s="24" t="s">
        <v>47</v>
      </c>
      <c r="B16" s="24"/>
      <c r="C16" s="7" t="s">
        <v>8</v>
      </c>
    </row>
    <row r="17" spans="1:3" x14ac:dyDescent="0.3">
      <c r="A17" s="24" t="s">
        <v>48</v>
      </c>
      <c r="B17" s="24"/>
      <c r="C17" s="7" t="s">
        <v>8</v>
      </c>
    </row>
    <row r="18" spans="1:3" x14ac:dyDescent="0.3">
      <c r="A18" s="24" t="s">
        <v>49</v>
      </c>
      <c r="B18" s="24"/>
      <c r="C18" s="7" t="s">
        <v>8</v>
      </c>
    </row>
    <row r="74" spans="12:12" x14ac:dyDescent="0.3">
      <c r="L74" s="10" t="s">
        <v>50</v>
      </c>
    </row>
    <row r="75" spans="12:12" x14ac:dyDescent="0.3">
      <c r="L75" s="10" t="s">
        <v>22</v>
      </c>
    </row>
    <row r="76" spans="12:12" x14ac:dyDescent="0.3">
      <c r="L76" s="10" t="s">
        <v>51</v>
      </c>
    </row>
    <row r="77" spans="12:12" x14ac:dyDescent="0.3">
      <c r="L77" s="10" t="s">
        <v>52</v>
      </c>
    </row>
    <row r="78" spans="12:12" x14ac:dyDescent="0.3">
      <c r="L78" s="10" t="s">
        <v>53</v>
      </c>
    </row>
    <row r="79" spans="12:12" x14ac:dyDescent="0.3">
      <c r="L79" s="10" t="s">
        <v>54</v>
      </c>
    </row>
    <row r="80" spans="12:12" x14ac:dyDescent="0.3">
      <c r="L80" s="10" t="s">
        <v>55</v>
      </c>
    </row>
    <row r="81" spans="12:12" x14ac:dyDescent="0.3">
      <c r="L81" s="10" t="s">
        <v>56</v>
      </c>
    </row>
    <row r="82" spans="12:12" x14ac:dyDescent="0.3">
      <c r="L82" s="10" t="s">
        <v>57</v>
      </c>
    </row>
    <row r="83" spans="12:12" x14ac:dyDescent="0.3">
      <c r="L83" s="11"/>
    </row>
  </sheetData>
  <mergeCells count="13">
    <mergeCell ref="A18:B18"/>
    <mergeCell ref="A1:F1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A16:B16"/>
    <mergeCell ref="A17:B17"/>
  </mergeCells>
  <dataValidations count="1">
    <dataValidation type="list" allowBlank="1" showInputMessage="1" showErrorMessage="1" sqref="E14:F14" xr:uid="{658BBF3B-7ACB-4AA1-BCB7-32B340DFAB80}">
      <formula1>classe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9127-5386-4964-A992-5F1592A057C8}">
  <dimension ref="B1:H19"/>
  <sheetViews>
    <sheetView showGridLines="0" workbookViewId="0">
      <selection activeCell="H9" sqref="H9"/>
    </sheetView>
  </sheetViews>
  <sheetFormatPr baseColWidth="10" defaultRowHeight="14.4" x14ac:dyDescent="0.3"/>
  <cols>
    <col min="1" max="1" width="11.5546875" style="18"/>
    <col min="2" max="2" width="26.33203125" style="18" customWidth="1"/>
    <col min="3" max="3" width="11.5546875" style="18"/>
    <col min="4" max="4" width="21.33203125" style="18" bestFit="1" customWidth="1"/>
    <col min="5" max="6" width="11.5546875" style="18"/>
    <col min="7" max="7" width="23.33203125" style="18" bestFit="1" customWidth="1"/>
    <col min="8" max="8" width="12.5546875" style="18" customWidth="1"/>
    <col min="9" max="16384" width="11.5546875" style="18"/>
  </cols>
  <sheetData>
    <row r="1" spans="2:8" ht="18" x14ac:dyDescent="0.3">
      <c r="B1" s="25" t="s">
        <v>41</v>
      </c>
      <c r="C1" s="25"/>
      <c r="G1" s="25" t="s">
        <v>41</v>
      </c>
      <c r="H1" s="25"/>
    </row>
    <row r="2" spans="2:8" ht="18" x14ac:dyDescent="0.3">
      <c r="B2" s="26" t="str">
        <f>'S7-Fr'!E12</f>
        <v>….............................................</v>
      </c>
      <c r="C2" s="27"/>
      <c r="G2" s="26" t="str">
        <f>'S7-Ar'!D12</f>
        <v>….............................................</v>
      </c>
      <c r="H2" s="27"/>
    </row>
    <row r="3" spans="2:8" ht="18" x14ac:dyDescent="0.3">
      <c r="B3" s="25" t="s">
        <v>44</v>
      </c>
      <c r="C3" s="25"/>
      <c r="G3" s="25" t="s">
        <v>44</v>
      </c>
      <c r="H3" s="25"/>
    </row>
    <row r="4" spans="2:8" ht="18" x14ac:dyDescent="0.3">
      <c r="B4" s="28" t="str">
        <f>'S7-Fr'!E14</f>
        <v>2/2</v>
      </c>
      <c r="C4" s="28"/>
      <c r="G4" s="28" t="str">
        <f>'S7-Ar'!D14</f>
        <v>2/2</v>
      </c>
      <c r="H4" s="28"/>
    </row>
    <row r="5" spans="2:8" ht="22.2" customHeight="1" x14ac:dyDescent="0.3">
      <c r="B5" s="29">
        <f ca="1">TODAY()</f>
        <v>46055</v>
      </c>
      <c r="C5" s="30"/>
      <c r="G5" s="29">
        <f ca="1">TODAY()</f>
        <v>46055</v>
      </c>
      <c r="H5" s="30"/>
    </row>
    <row r="6" spans="2:8" ht="16.2" thickBot="1" x14ac:dyDescent="0.35">
      <c r="B6" s="8"/>
      <c r="C6" s="8"/>
      <c r="G6" s="8"/>
      <c r="H6" s="8"/>
    </row>
    <row r="7" spans="2:8" ht="18.600000000000001" customHeight="1" thickBot="1" x14ac:dyDescent="0.35">
      <c r="B7" s="31" t="s">
        <v>58</v>
      </c>
      <c r="C7" s="32"/>
      <c r="G7" s="31" t="s">
        <v>58</v>
      </c>
      <c r="H7" s="32"/>
    </row>
    <row r="8" spans="2:8" ht="18" x14ac:dyDescent="0.3">
      <c r="B8" s="12" t="s">
        <v>59</v>
      </c>
      <c r="C8" s="13" t="s">
        <v>60</v>
      </c>
      <c r="G8" s="12" t="s">
        <v>59</v>
      </c>
      <c r="H8" s="13" t="s">
        <v>60</v>
      </c>
    </row>
    <row r="9" spans="2:8" ht="18" x14ac:dyDescent="0.3">
      <c r="B9" s="14" t="s">
        <v>61</v>
      </c>
      <c r="C9" s="15">
        <f>IFERROR(IF(AND(_xlfn.ISFORMULA('S7-Fr'!E3),'S7-Fr'!E3='S7-Fr'!B3*'S7-Fr'!C3*'S7-Fr'!D3/1000),2,0),"0")</f>
        <v>0</v>
      </c>
      <c r="G9" s="14" t="s">
        <v>5</v>
      </c>
      <c r="H9" s="15">
        <f>IFERROR(IF(AND(_xlfn.ISFORMULA('S7-Ar'!E3),'S7-Ar'!E3='S7-Ar'!B3*'S7-Ar'!C3*'S7-Ar'!D3/1000),2,0),"0")</f>
        <v>0</v>
      </c>
    </row>
    <row r="10" spans="2:8" ht="18" x14ac:dyDescent="0.3">
      <c r="B10" s="14" t="s">
        <v>62</v>
      </c>
      <c r="C10" s="15" t="str">
        <f>IFERROR(IF(AND(_xlfn.ISFORMULA('S7-Fr'!F3),'S7-Fr'!F3='S7-Fr'!E3*0.9),2,0),"0")</f>
        <v>0</v>
      </c>
      <c r="G10" s="14" t="s">
        <v>6</v>
      </c>
      <c r="H10" s="15" t="str">
        <f>IFERROR(IF(AND(_xlfn.ISFORMULA('S7-Ar'!F3),'S7-Ar'!F3='S7-Ar'!E3*0.9),2,0),"0")</f>
        <v>0</v>
      </c>
    </row>
    <row r="11" spans="2:8" ht="18" x14ac:dyDescent="0.3">
      <c r="B11" s="14" t="s">
        <v>63</v>
      </c>
      <c r="C11" s="15">
        <f>IFERROR(IF(AND(_xlfn.ISFORMULA('S7-Fr'!C11),'S7-Fr'!C11=SUM('S7-Fr'!E3:E9)),2,0),"0")</f>
        <v>0</v>
      </c>
      <c r="G11" s="14" t="s">
        <v>15</v>
      </c>
      <c r="H11" s="15">
        <f>IFERROR(IF(AND(_xlfn.ISFORMULA('S7-Ar'!B11),'S7-Ar'!B11=SUM('S7-Ar'!E3:E9)),2,0),"0")</f>
        <v>0</v>
      </c>
    </row>
    <row r="12" spans="2:8" ht="18" x14ac:dyDescent="0.3">
      <c r="B12" s="14" t="s">
        <v>64</v>
      </c>
      <c r="C12" s="15" t="str">
        <f>IFERROR(IF(AND(_xlfn.ISFORMULA('S7-Fr'!C12),'S7-Fr'!C12='S7-Fr'!C11*30),2,0),"0")</f>
        <v>0</v>
      </c>
      <c r="G12" s="14" t="s">
        <v>17</v>
      </c>
      <c r="H12" s="15" t="str">
        <f>IFERROR(IF(AND(_xlfn.ISFORMULA('S7-Ar'!B12),'S7-Ar'!B12='S7-Ar'!B11*30),2,0),"0")</f>
        <v>0</v>
      </c>
    </row>
    <row r="13" spans="2:8" ht="18" x14ac:dyDescent="0.3">
      <c r="B13" s="14" t="s">
        <v>65</v>
      </c>
      <c r="C13" s="15" t="str">
        <f>IFERROR(IF(AND(_xlfn.ISFORMULA('S7-Fr'!C13),'S7-Fr'!C13=AVERAGE('S7-Fr'!E3:E9)),2,0),"0")</f>
        <v>0</v>
      </c>
      <c r="G13" s="14" t="s">
        <v>19</v>
      </c>
      <c r="H13" s="15" t="str">
        <f>IFERROR(IF(AND(_xlfn.ISFORMULA('S7-Ar'!B13),'S7-Ar'!B13=AVERAGE('S7-Ar'!E3:E9)),2,0),"0")</f>
        <v>0</v>
      </c>
    </row>
    <row r="14" spans="2:8" ht="18" x14ac:dyDescent="0.3">
      <c r="B14" s="14" t="s">
        <v>66</v>
      </c>
      <c r="C14" s="15">
        <f>IFERROR(IF(AND(_xlfn.ISFORMULA('S7-Fr'!C14),'S7-Fr'!C14=MAX('S7-Fr'!E3:E9)),2,0),"0")</f>
        <v>0</v>
      </c>
      <c r="G14" s="14" t="s">
        <v>21</v>
      </c>
      <c r="H14" s="15">
        <f>IFERROR(IF(AND(_xlfn.ISFORMULA('S7-Ar'!B14),'S7-Ar'!B14=MAX('S7-Ar'!E3:E9)),2,0),"0")</f>
        <v>0</v>
      </c>
    </row>
    <row r="15" spans="2:8" ht="18" x14ac:dyDescent="0.3">
      <c r="B15" s="14" t="s">
        <v>67</v>
      </c>
      <c r="C15" s="15">
        <f>IF(AND(_xlfn.ISFORMULA('S7-Fr'!C15),'S7-Fr'!C15=MIN('S7-Fr'!E3:E9)),2,0)</f>
        <v>0</v>
      </c>
      <c r="G15" s="14" t="s">
        <v>23</v>
      </c>
      <c r="H15" s="15">
        <f>IF(AND(_xlfn.ISFORMULA('S7-Ar'!B15),'S7-Ar'!B15=MIN('S7-Ar'!E3:E9)),2,0)</f>
        <v>0</v>
      </c>
    </row>
    <row r="16" spans="2:8" ht="18" x14ac:dyDescent="0.3">
      <c r="B16" s="14" t="s">
        <v>68</v>
      </c>
      <c r="C16" s="15">
        <f>IFERROR(IF(AND(_xlfn.ISFORMULA('S7-Fr'!C16),'S7-Fr'!C16=SUM('S7-Fr'!B3:B9)),2,0),"0")</f>
        <v>0</v>
      </c>
      <c r="G16" s="14" t="s">
        <v>2</v>
      </c>
      <c r="H16" s="15">
        <f>IFERROR(IF(AND(_xlfn.ISFORMULA('S7-Ar'!B16),'S7-Ar'!B16=SUM('S7-Ar'!B3:B9)),2,0),"0")</f>
        <v>0</v>
      </c>
    </row>
    <row r="17" spans="2:8" ht="18" x14ac:dyDescent="0.3">
      <c r="B17" s="14" t="s">
        <v>48</v>
      </c>
      <c r="C17" s="15">
        <f>IFERROR(IF(AND(_xlfn.ISFORMULA('S7-Fr'!C17),'S7-Fr'!C17=SUM('S7-Fr'!F3:F9)),2,0),"0")</f>
        <v>0</v>
      </c>
      <c r="G17" s="14" t="s">
        <v>24</v>
      </c>
      <c r="H17" s="15">
        <f>IFERROR(IF(AND(_xlfn.ISFORMULA('S7-Ar'!B17),'S7-Ar'!B17=SUM('S7-Ar'!F3:F9)),2,0),"0")</f>
        <v>0</v>
      </c>
    </row>
    <row r="18" spans="2:8" ht="18" x14ac:dyDescent="0.3">
      <c r="B18" s="14" t="s">
        <v>49</v>
      </c>
      <c r="C18" s="15" t="str">
        <f>IFERROR(IF(AND(_xlfn.ISFORMULA('S7-Fr'!C18),'S7-Fr'!C18='S7-Fr'!C12*30),2,0),"0")</f>
        <v>0</v>
      </c>
      <c r="G18" s="14" t="s">
        <v>25</v>
      </c>
      <c r="H18" s="15" t="str">
        <f>IFERROR(IF(AND(_xlfn.ISFORMULA('S7-Ar'!B18),'S7-Ar'!B18='S7-Ar'!B17*30),2,0),"0")</f>
        <v>0</v>
      </c>
    </row>
    <row r="19" spans="2:8" ht="18.600000000000001" thickBot="1" x14ac:dyDescent="0.35">
      <c r="B19" s="16" t="s">
        <v>69</v>
      </c>
      <c r="C19" s="17">
        <f>IFERROR(SUM(C9:C18),"0")</f>
        <v>0</v>
      </c>
      <c r="G19" s="16" t="s">
        <v>69</v>
      </c>
      <c r="H19" s="17">
        <f>IFERROR(SUM(H9:H18),"0")</f>
        <v>0</v>
      </c>
    </row>
  </sheetData>
  <sheetProtection algorithmName="SHA-512" hashValue="e8iaoVF8Ll4dYXUOvso143Cx5BElQWIIoIVOD6+BaAvxXf6KSc19chk6yj9p1qwTmmRRMpw5/W2FzaYJVegLzw==" saltValue="3dVlQYfURhT5iFwqyjdrNg==" spinCount="100000" sheet="1" objects="1" scenarios="1"/>
  <mergeCells count="12">
    <mergeCell ref="B4:C4"/>
    <mergeCell ref="G4:H4"/>
    <mergeCell ref="B5:C5"/>
    <mergeCell ref="G5:H5"/>
    <mergeCell ref="B7:C7"/>
    <mergeCell ref="G7:H7"/>
    <mergeCell ref="B1:C1"/>
    <mergeCell ref="G1:H1"/>
    <mergeCell ref="B2:C2"/>
    <mergeCell ref="G2:H2"/>
    <mergeCell ref="B3:C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S7-Ar</vt:lpstr>
      <vt:lpstr>S7-Fr</vt:lpstr>
      <vt:lpstr>correction</vt:lpstr>
      <vt:lpstr>classe</vt:lpstr>
      <vt:lpstr>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ABDELLAH.TAHTOH</dc:creator>
  <cp:lastModifiedBy>ABDELLAH.TAHTOH</cp:lastModifiedBy>
  <dcterms:created xsi:type="dcterms:W3CDTF">2026-02-02T22:35:46Z</dcterms:created>
  <dcterms:modified xsi:type="dcterms:W3CDTF">2026-02-02T22:42:48Z</dcterms:modified>
</cp:coreProperties>
</file>