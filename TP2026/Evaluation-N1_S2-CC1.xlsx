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ahto\OneDrive\Desktop\"/>
    </mc:Choice>
  </mc:AlternateContent>
  <xr:revisionPtr revIDLastSave="0" documentId="13_ncr:1_{2CCA4E01-58AD-4DD0-B14F-9492E645F78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C1-S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6" i="1" l="1"/>
  <c r="C58" i="1"/>
  <c r="C56" i="1"/>
  <c r="E73" i="1"/>
  <c r="E70" i="1"/>
  <c r="E64" i="1"/>
  <c r="E67" i="1"/>
  <c r="E74" i="1"/>
  <c r="E63" i="1"/>
  <c r="E69" i="1"/>
  <c r="E68" i="1"/>
  <c r="E65" i="1"/>
  <c r="E72" i="1"/>
  <c r="E62" i="1"/>
  <c r="E71" i="1"/>
  <c r="E66" i="1"/>
  <c r="D62" i="1" l="1"/>
  <c r="D71" i="1"/>
  <c r="D70" i="1"/>
  <c r="D69" i="1"/>
  <c r="D73" i="1"/>
  <c r="D74" i="1"/>
  <c r="D72" i="1"/>
  <c r="D67" i="1"/>
  <c r="D68" i="1" l="1"/>
  <c r="D65" i="1"/>
  <c r="D64" i="1"/>
  <c r="D63" i="1"/>
  <c r="C7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Abdellah TAHTOH</author>
  </authors>
  <commentList>
    <comment ref="B6" authorId="0" shapeId="0" xr:uid="{8210CDF2-1BDE-46FD-98C8-5D59326CA7C4}">
      <text>
        <r>
          <rPr>
            <b/>
            <sz val="9"/>
            <color indexed="81"/>
            <rFont val="Tahoma"/>
            <family val="2"/>
          </rPr>
          <t>اختر قسمك</t>
        </r>
      </text>
    </comment>
    <comment ref="A12" authorId="0" shapeId="0" xr:uid="{769F6742-79CB-4378-87A3-061022122540}">
      <text>
        <r>
          <rPr>
            <b/>
            <sz val="9"/>
            <color indexed="81"/>
            <rFont val="Tahoma"/>
            <family val="2"/>
          </rPr>
          <t>عملية الجمع</t>
        </r>
      </text>
    </comment>
    <comment ref="A13" authorId="0" shapeId="0" xr:uid="{E43359FB-ADFD-4985-81BF-FC5D00B4B763}">
      <text>
        <r>
          <rPr>
            <b/>
            <sz val="9"/>
            <color indexed="81"/>
            <rFont val="Tahoma"/>
            <family val="2"/>
          </rPr>
          <t>عملية الطرح</t>
        </r>
      </text>
    </comment>
    <comment ref="A14" authorId="0" shapeId="0" xr:uid="{1ED10790-BD6F-4947-A96B-07D09DA95017}">
      <text>
        <r>
          <rPr>
            <b/>
            <sz val="9"/>
            <color indexed="81"/>
            <rFont val="Tahoma"/>
            <family val="2"/>
          </rPr>
          <t>عملية الضرب</t>
        </r>
      </text>
    </comment>
    <comment ref="A15" authorId="0" shapeId="0" xr:uid="{7D0C9C9E-6DAE-49C3-92C4-35ED3640931C}">
      <text>
        <r>
          <rPr>
            <b/>
            <sz val="9"/>
            <color indexed="81"/>
            <rFont val="Tahoma"/>
            <family val="2"/>
          </rPr>
          <t>عملية القسمة</t>
        </r>
      </text>
    </comment>
    <comment ref="A20" authorId="0" shapeId="0" xr:uid="{2AED0208-8E35-4CFF-B9EC-23C146B6AAF4}">
      <text>
        <r>
          <rPr>
            <b/>
            <sz val="9"/>
            <color indexed="81"/>
            <rFont val="Tahoma"/>
            <family val="2"/>
          </rPr>
          <t>المنتوج</t>
        </r>
      </text>
    </comment>
    <comment ref="B20" authorId="0" shapeId="0" xr:uid="{B6CD8C97-7276-4D56-BB0E-FC1D7742F5E7}">
      <text>
        <r>
          <rPr>
            <b/>
            <sz val="9"/>
            <color indexed="81"/>
            <rFont val="Tahoma"/>
            <family val="2"/>
          </rPr>
          <t>سعر الوحدة</t>
        </r>
      </text>
    </comment>
    <comment ref="C20" authorId="0" shapeId="0" xr:uid="{7AEEA926-D74F-4588-A79E-B28A52B38DEB}">
      <text>
        <r>
          <rPr>
            <b/>
            <sz val="9"/>
            <color indexed="81"/>
            <rFont val="Tahoma"/>
            <family val="2"/>
          </rPr>
          <t>الكمية المباعة</t>
        </r>
      </text>
    </comment>
    <comment ref="D20" authorId="0" shapeId="0" xr:uid="{3EA4E664-A78F-4E0A-A2DD-69A206B4DB36}">
      <text>
        <r>
          <rPr>
            <b/>
            <sz val="9"/>
            <color indexed="81"/>
            <rFont val="Tahoma"/>
            <family val="2"/>
          </rPr>
          <t>السعر</t>
        </r>
      </text>
    </comment>
    <comment ref="E20" authorId="0" shapeId="0" xr:uid="{D1903CAE-9D41-40C2-A41D-0C07FB7F756E}">
      <text>
        <r>
          <rPr>
            <b/>
            <sz val="9"/>
            <color indexed="81"/>
            <rFont val="Tahoma"/>
            <family val="2"/>
          </rPr>
          <t>الكمية</t>
        </r>
      </text>
    </comment>
    <comment ref="F20" authorId="0" shapeId="0" xr:uid="{0372BF08-21A1-4926-BCA8-7BAC7910AC69}">
      <text>
        <r>
          <rPr>
            <b/>
            <sz val="9"/>
            <color indexed="81"/>
            <rFont val="Tahoma"/>
            <family val="2"/>
          </rPr>
          <t>الباقي من الكمية</t>
        </r>
      </text>
    </comment>
    <comment ref="B30" authorId="0" shapeId="0" xr:uid="{0CA51D17-D9DC-4B51-9FD1-A79CADAF2361}">
      <text>
        <r>
          <rPr>
            <b/>
            <sz val="9"/>
            <color indexed="81"/>
            <rFont val="Tahoma"/>
            <family val="2"/>
          </rPr>
          <t>المبيعات</t>
        </r>
      </text>
    </comment>
    <comment ref="A37" authorId="0" shapeId="0" xr:uid="{EF61C785-A2AE-4B2A-AF09-DC32B9EEEACC}">
      <text>
        <r>
          <rPr>
            <b/>
            <sz val="9"/>
            <color indexed="81"/>
            <rFont val="Tahoma"/>
            <family val="2"/>
          </rPr>
          <t>مجموع المبيعات</t>
        </r>
      </text>
    </comment>
    <comment ref="A38" authorId="0" shapeId="0" xr:uid="{2578D402-3711-4B9C-BB3F-DD2D5A57DFBD}">
      <text>
        <r>
          <rPr>
            <b/>
            <sz val="9"/>
            <color indexed="81"/>
            <rFont val="Tahoma"/>
            <family val="2"/>
          </rPr>
          <t>معدل المبيعات</t>
        </r>
      </text>
    </comment>
    <comment ref="A39" authorId="0" shapeId="0" xr:uid="{1B618C1B-1A2C-4502-AB4F-501A63B051C0}">
      <text>
        <r>
          <rPr>
            <b/>
            <sz val="9"/>
            <color indexed="81"/>
            <rFont val="Tahoma"/>
            <family val="2"/>
          </rPr>
          <t>اكبر مبيعة</t>
        </r>
      </text>
    </comment>
    <comment ref="A40" authorId="0" shapeId="0" xr:uid="{4834F5A4-5D6A-40C0-9748-ECB16C464776}">
      <text>
        <r>
          <rPr>
            <b/>
            <sz val="9"/>
            <color indexed="81"/>
            <rFont val="Tahoma"/>
            <family val="2"/>
          </rPr>
          <t>اصغر مبيعة</t>
        </r>
      </text>
    </comment>
    <comment ref="A45" authorId="0" shapeId="0" xr:uid="{3789AB20-7269-41F5-A14A-D1960F764A07}">
      <text>
        <r>
          <rPr>
            <b/>
            <sz val="9"/>
            <color indexed="81"/>
            <rFont val="Tahoma"/>
            <family val="2"/>
          </rPr>
          <t>صنف المصاريف</t>
        </r>
      </text>
    </comment>
    <comment ref="B45" authorId="0" shapeId="0" xr:uid="{C829CA5C-7188-40CF-95E2-42FE10D80AED}">
      <text>
        <r>
          <rPr>
            <b/>
            <sz val="9"/>
            <color indexed="81"/>
            <rFont val="Tahoma"/>
            <family val="2"/>
          </rPr>
          <t>الثمن</t>
        </r>
      </text>
    </comment>
    <comment ref="C45" authorId="0" shapeId="0" xr:uid="{76460289-8EC5-4303-B719-094BA28BE01B}">
      <text>
        <r>
          <rPr>
            <b/>
            <sz val="9"/>
            <color indexed="81"/>
            <rFont val="Tahoma"/>
            <family val="2"/>
          </rPr>
          <t>النسبة المؤوية للميزانية</t>
        </r>
      </text>
    </comment>
    <comment ref="A46" authorId="0" shapeId="0" xr:uid="{8EB3195D-30E6-4B40-ACA8-8082226D788B}">
      <text>
        <r>
          <rPr>
            <b/>
            <sz val="9"/>
            <color indexed="81"/>
            <rFont val="Tahoma"/>
            <family val="2"/>
          </rPr>
          <t>التغذية</t>
        </r>
      </text>
    </comment>
    <comment ref="A47" authorId="0" shapeId="0" xr:uid="{B9316B4D-812A-422B-A73F-9DCCAED80F35}">
      <text>
        <r>
          <rPr>
            <b/>
            <sz val="9"/>
            <color indexed="81"/>
            <rFont val="Tahoma"/>
            <family val="2"/>
          </rPr>
          <t>التنقل</t>
        </r>
      </text>
    </comment>
    <comment ref="A48" authorId="0" shapeId="0" xr:uid="{D71AA6D8-D9E4-436B-B9EA-E969C3E80067}">
      <text>
        <r>
          <rPr>
            <b/>
            <sz val="9"/>
            <color indexed="81"/>
            <rFont val="Tahoma"/>
            <family val="2"/>
          </rPr>
          <t xml:space="preserve">الترفيه </t>
        </r>
      </text>
    </comment>
    <comment ref="A49" authorId="0" shapeId="0" xr:uid="{1C648AEF-B6BE-44D4-9400-4D0F7D184A37}">
      <text>
        <r>
          <rPr>
            <b/>
            <sz val="9"/>
            <color indexed="81"/>
            <rFont val="Tahoma"/>
            <family val="2"/>
          </rPr>
          <t>الصحة</t>
        </r>
      </text>
    </comment>
    <comment ref="A50" authorId="0" shapeId="0" xr:uid="{7128F8EB-B00E-443B-BEDD-C1CE39DA4846}">
      <text>
        <r>
          <rPr>
            <b/>
            <sz val="9"/>
            <color indexed="81"/>
            <rFont val="Tahoma"/>
            <family val="2"/>
          </rPr>
          <t>الماء والكهرباء</t>
        </r>
      </text>
    </comment>
  </commentList>
</comments>
</file>

<file path=xl/sharedStrings.xml><?xml version="1.0" encoding="utf-8"?>
<sst xmlns="http://schemas.openxmlformats.org/spreadsheetml/2006/main" count="113" uniqueCount="77">
  <si>
    <t>EXERCICE 1 : Calculs Simples avec les 4 Opérations</t>
  </si>
  <si>
    <t>Complète les cellules vides avec les formules appropriées</t>
  </si>
  <si>
    <t>Description</t>
  </si>
  <si>
    <t>Valeur A</t>
  </si>
  <si>
    <t>Valeur B</t>
  </si>
  <si>
    <t>Résultat</t>
  </si>
  <si>
    <t>Addition</t>
  </si>
  <si>
    <t>Soustraction</t>
  </si>
  <si>
    <t>Multiplication</t>
  </si>
  <si>
    <t>Division</t>
  </si>
  <si>
    <t>EXERCICE 2 : Gestion de Stock</t>
  </si>
  <si>
    <t>Produit</t>
  </si>
  <si>
    <t>Prix unitaire</t>
  </si>
  <si>
    <t>Quantité</t>
  </si>
  <si>
    <t>Montant</t>
  </si>
  <si>
    <t>Quantité vendue</t>
  </si>
  <si>
    <t>Reste</t>
  </si>
  <si>
    <t>Stylo</t>
  </si>
  <si>
    <t>Cahier</t>
  </si>
  <si>
    <t>Livre</t>
  </si>
  <si>
    <t>Gomme</t>
  </si>
  <si>
    <t>TOTAL</t>
  </si>
  <si>
    <t>EXERCICE 3 : Calculs Statistiques</t>
  </si>
  <si>
    <t>Utilise SOMME, MOYENNE, MAX, MIN</t>
  </si>
  <si>
    <t>Jour</t>
  </si>
  <si>
    <t>Ventes (DH)</t>
  </si>
  <si>
    <t>Lundi</t>
  </si>
  <si>
    <t>Mardi</t>
  </si>
  <si>
    <t>Mercredi</t>
  </si>
  <si>
    <t>Jeudi</t>
  </si>
  <si>
    <t>Vendredi</t>
  </si>
  <si>
    <t>Total des ventes :</t>
  </si>
  <si>
    <t>Moyenne des ventes :</t>
  </si>
  <si>
    <t>Vente maximale :</t>
  </si>
  <si>
    <t>Vente minimale :</t>
  </si>
  <si>
    <t>Question</t>
  </si>
  <si>
    <t>note</t>
  </si>
  <si>
    <t>Catégories de dépenses</t>
  </si>
  <si>
    <t>Catégorie</t>
  </si>
  <si>
    <t>Montant (DH)</t>
  </si>
  <si>
    <t>Pourcentage du budget</t>
  </si>
  <si>
    <t>Alimentation</t>
  </si>
  <si>
    <t>Transport</t>
  </si>
  <si>
    <t>Loisirs</t>
  </si>
  <si>
    <t>Santé</t>
  </si>
  <si>
    <t>EXERCICE 4 : Budget Personnel - Mes Dépenses du Mois</t>
  </si>
  <si>
    <t>Réservée au correction automatique</t>
  </si>
  <si>
    <t>Ex 1</t>
  </si>
  <si>
    <t>Ex 2</t>
  </si>
  <si>
    <t>Ex 3</t>
  </si>
  <si>
    <t>Ex 4</t>
  </si>
  <si>
    <t>6pt</t>
  </si>
  <si>
    <t>4pt</t>
  </si>
  <si>
    <t>8pt</t>
  </si>
  <si>
    <t>2pt</t>
  </si>
  <si>
    <t>?</t>
  </si>
  <si>
    <t>الاسم الكامل</t>
  </si>
  <si>
    <t>القسم</t>
  </si>
  <si>
    <t>2/2</t>
  </si>
  <si>
    <t>2/1</t>
  </si>
  <si>
    <t>2/3</t>
  </si>
  <si>
    <t>2/4</t>
  </si>
  <si>
    <t>2/5</t>
  </si>
  <si>
    <t>2/6</t>
  </si>
  <si>
    <t>2/7</t>
  </si>
  <si>
    <t>2/8</t>
  </si>
  <si>
    <t>2/9</t>
  </si>
  <si>
    <t>Evaluation N°1 - Pratique -</t>
  </si>
  <si>
    <t>Nom Complet</t>
  </si>
  <si>
    <t>Classe</t>
  </si>
  <si>
    <t>Calcule les montants et totaux et le reste</t>
  </si>
  <si>
    <t>Eau +Électricité</t>
  </si>
  <si>
    <t>/20</t>
  </si>
  <si>
    <t>Note finale</t>
  </si>
  <si>
    <t>Reste du quantité</t>
  </si>
  <si>
    <t>Votre reponse</t>
  </si>
  <si>
    <t>…..........................................................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</si>
</sst>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MAD]_-;\-* #,##0.00\ [$MAD]_-;_-* &quot;-&quot;??\ [$MAD]_-;_-@_-"/>
  </numFmts>
  <fonts count="1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Sakkal Majalla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theme="0"/>
      <name val="Calibri"/>
      <family val="2"/>
      <scheme val="minor"/>
    </font>
    <font>
      <sz val="12"/>
      <color theme="1"/>
      <name val="Sakkal Majalla"/>
    </font>
    <font>
      <b/>
      <sz val="14"/>
      <color rgb="FF1F4788"/>
      <name val="Calibri"/>
      <family val="2"/>
    </font>
    <font>
      <b/>
      <sz val="9"/>
      <color indexed="81"/>
      <name val="Tahoma"/>
      <family val="2"/>
    </font>
    <font>
      <b/>
      <sz val="20"/>
      <color theme="1"/>
      <name val="Sakkal Majalla"/>
    </font>
    <font>
      <b/>
      <sz val="28"/>
      <color theme="1"/>
      <name val="Sakkal Majalla"/>
    </font>
  </fonts>
  <fills count="11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CC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70AD47"/>
        <bgColor rgb="FF70AD47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Dashed">
        <color rgb="FFFF0000"/>
      </left>
      <right/>
      <top style="mediumDashed">
        <color rgb="FFFF0000"/>
      </top>
      <bottom style="mediumDashed">
        <color rgb="FFFF0000"/>
      </bottom>
      <diagonal/>
    </border>
    <border>
      <left/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mediumDashed">
        <color rgb="FFFF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mediumDashed">
        <color rgb="FFFF0000"/>
      </right>
      <top style="thin">
        <color theme="1"/>
      </top>
      <bottom style="thin">
        <color theme="1"/>
      </bottom>
      <diagonal/>
    </border>
    <border>
      <left style="mediumDashed">
        <color rgb="FFFF0000"/>
      </left>
      <right style="mediumDashed">
        <color rgb="FFFF0000"/>
      </right>
      <top style="thin">
        <color theme="1"/>
      </top>
      <bottom style="thin">
        <color theme="1"/>
      </bottom>
      <diagonal/>
    </border>
    <border>
      <left style="mediumDashed">
        <color rgb="FFFF0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/>
      <diagonal/>
    </border>
    <border>
      <left style="mediumDashed">
        <color rgb="FFFF0000"/>
      </left>
      <right style="mediumDashed">
        <color rgb="FFFF0000"/>
      </right>
      <top/>
      <bottom/>
      <diagonal/>
    </border>
    <border>
      <left style="mediumDashed">
        <color rgb="FFFF0000"/>
      </left>
      <right style="mediumDashed">
        <color rgb="FFFF0000"/>
      </right>
      <top/>
      <bottom style="mediumDashed">
        <color rgb="FFFF0000"/>
      </bottom>
      <diagonal/>
    </border>
    <border>
      <left/>
      <right/>
      <top/>
      <bottom style="mediumDashed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/>
      <right style="mediumDashed">
        <color rgb="FFFF0000"/>
      </right>
      <top style="mediumDashed">
        <color rgb="FFFF0000"/>
      </top>
      <bottom style="thin">
        <color indexed="64"/>
      </bottom>
      <diagonal/>
    </border>
    <border>
      <left/>
      <right style="mediumDashed">
        <color rgb="FFFF0000"/>
      </right>
      <top style="thin">
        <color indexed="64"/>
      </top>
      <bottom style="thin">
        <color indexed="64"/>
      </bottom>
      <diagonal/>
    </border>
    <border>
      <left/>
      <right style="mediumDashed">
        <color rgb="FFFF0000"/>
      </right>
      <top style="thin">
        <color indexed="64"/>
      </top>
      <bottom style="mediumDashed">
        <color rgb="FFFF0000"/>
      </bottom>
      <diagonal/>
    </border>
    <border>
      <left/>
      <right style="mediumDashed">
        <color rgb="FFFF0000"/>
      </right>
      <top style="thin">
        <color indexed="64"/>
      </top>
      <bottom/>
      <diagonal/>
    </border>
    <border>
      <left style="mediumDashed">
        <color rgb="FFFF0000"/>
      </left>
      <right style="mediumDashed">
        <color rgb="FFFF0000"/>
      </right>
      <top style="thin">
        <color indexed="64"/>
      </top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/>
      <bottom style="thin">
        <color indexed="64"/>
      </bottom>
      <diagonal/>
    </border>
    <border>
      <left style="mediumDashed">
        <color rgb="FFFF0000"/>
      </left>
      <right style="mediumDashed">
        <color rgb="FFFF0000"/>
      </right>
      <top style="thin">
        <color theme="1"/>
      </top>
      <bottom/>
      <diagonal/>
    </border>
    <border>
      <left style="mediumDashed">
        <color rgb="FFFF0000"/>
      </left>
      <right style="mediumDashed">
        <color rgb="FFFF0000"/>
      </right>
      <top style="thin">
        <color theme="1"/>
      </top>
      <bottom style="mediumDashed">
        <color rgb="FFFF0000"/>
      </bottom>
      <diagonal/>
    </border>
    <border>
      <left style="mediumDashed">
        <color rgb="FFFF0000"/>
      </left>
      <right style="mediumDashed">
        <color rgb="FFFF0000"/>
      </right>
      <top style="mediumDashed">
        <color rgb="FFFF0000"/>
      </top>
      <bottom style="thin">
        <color theme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72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10" fillId="7" borderId="1" xfId="0" applyFont="1" applyFill="1" applyBorder="1" applyAlignment="1" applyProtection="1">
      <alignment horizontal="center" vertical="center"/>
      <protection locked="0"/>
    </xf>
    <xf numFmtId="9" fontId="7" fillId="0" borderId="1" xfId="1" applyFont="1" applyBorder="1" applyAlignment="1" applyProtection="1">
      <alignment horizontal="center" vertical="center"/>
      <protection locked="0"/>
    </xf>
    <xf numFmtId="0" fontId="9" fillId="4" borderId="1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hidden="1"/>
    </xf>
    <xf numFmtId="49" fontId="11" fillId="0" borderId="0" xfId="0" applyNumberFormat="1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0" fillId="7" borderId="1" xfId="0" applyFont="1" applyFill="1" applyBorder="1" applyAlignment="1" applyProtection="1">
      <alignment horizontal="center" vertical="center" wrapText="1"/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7" fillId="4" borderId="5" xfId="0" applyNumberFormat="1" applyFon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 applyProtection="1">
      <alignment horizontal="center" vertical="center"/>
      <protection locked="0"/>
    </xf>
    <xf numFmtId="164" fontId="0" fillId="0" borderId="6" xfId="0" applyNumberFormat="1" applyBorder="1" applyAlignment="1" applyProtection="1">
      <alignment horizontal="center" vertical="center"/>
      <protection locked="0"/>
    </xf>
    <xf numFmtId="0" fontId="0" fillId="8" borderId="0" xfId="0" applyFill="1" applyAlignment="1" applyProtection="1">
      <alignment horizontal="center" vertical="center"/>
      <protection locked="0"/>
    </xf>
    <xf numFmtId="0" fontId="16" fillId="5" borderId="3" xfId="0" applyFont="1" applyFill="1" applyBorder="1" applyAlignment="1" applyProtection="1">
      <alignment horizontal="left" vertical="center"/>
      <protection hidden="1"/>
    </xf>
    <xf numFmtId="0" fontId="16" fillId="5" borderId="13" xfId="0" applyFont="1" applyFill="1" applyBorder="1" applyAlignment="1" applyProtection="1">
      <alignment horizontal="right" vertical="center"/>
      <protection hidden="1"/>
    </xf>
    <xf numFmtId="0" fontId="15" fillId="5" borderId="4" xfId="0" applyFont="1" applyFill="1" applyBorder="1" applyAlignment="1" applyProtection="1">
      <alignment horizontal="center" vertical="center"/>
      <protection hidden="1"/>
    </xf>
    <xf numFmtId="0" fontId="0" fillId="9" borderId="0" xfId="0" applyFill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0" fillId="9" borderId="1" xfId="0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 wrapText="1"/>
      <protection hidden="1"/>
    </xf>
    <xf numFmtId="0" fontId="6" fillId="5" borderId="4" xfId="0" applyFont="1" applyFill="1" applyBorder="1" applyAlignment="1" applyProtection="1">
      <alignment horizontal="center" vertical="center" wrapText="1"/>
      <protection hidden="1"/>
    </xf>
    <xf numFmtId="0" fontId="6" fillId="6" borderId="18" xfId="0" applyFont="1" applyFill="1" applyBorder="1" applyAlignment="1" applyProtection="1">
      <alignment horizontal="center" vertical="center"/>
      <protection hidden="1"/>
    </xf>
    <xf numFmtId="0" fontId="6" fillId="6" borderId="16" xfId="0" applyFont="1" applyFill="1" applyBorder="1" applyAlignment="1" applyProtection="1">
      <alignment horizontal="center" vertical="center"/>
      <protection hidden="1"/>
    </xf>
    <xf numFmtId="0" fontId="6" fillId="6" borderId="19" xfId="0" applyFont="1" applyFill="1" applyBorder="1" applyAlignment="1" applyProtection="1">
      <alignment horizontal="center" vertical="center"/>
      <protection hidden="1"/>
    </xf>
    <xf numFmtId="0" fontId="6" fillId="6" borderId="20" xfId="0" applyFont="1" applyFill="1" applyBorder="1" applyAlignment="1" applyProtection="1">
      <alignment horizontal="center" vertical="center"/>
      <protection hidden="1"/>
    </xf>
    <xf numFmtId="0" fontId="6" fillId="6" borderId="21" xfId="0" applyFont="1" applyFill="1" applyBorder="1" applyAlignment="1" applyProtection="1">
      <alignment horizontal="center" vertical="center"/>
      <protection hidden="1"/>
    </xf>
    <xf numFmtId="0" fontId="6" fillId="6" borderId="17" xfId="0" applyFont="1" applyFill="1" applyBorder="1" applyAlignment="1" applyProtection="1">
      <alignment horizontal="center" vertical="center"/>
      <protection hidden="1"/>
    </xf>
    <xf numFmtId="0" fontId="6" fillId="6" borderId="22" xfId="0" applyFont="1" applyFill="1" applyBorder="1" applyAlignment="1" applyProtection="1">
      <alignment horizontal="center" vertical="center"/>
      <protection hidden="1"/>
    </xf>
    <xf numFmtId="0" fontId="6" fillId="6" borderId="23" xfId="0" applyFont="1" applyFill="1" applyBorder="1" applyAlignment="1" applyProtection="1">
      <alignment horizontal="center" vertical="center"/>
      <protection hidden="1"/>
    </xf>
    <xf numFmtId="0" fontId="6" fillId="10" borderId="11" xfId="0" applyFont="1" applyFill="1" applyBorder="1" applyAlignment="1" applyProtection="1">
      <alignment horizontal="center" vertical="center" wrapText="1"/>
      <protection hidden="1"/>
    </xf>
    <xf numFmtId="0" fontId="6" fillId="10" borderId="26" xfId="0" applyFont="1" applyFill="1" applyBorder="1" applyAlignment="1" applyProtection="1">
      <alignment horizontal="center" vertical="center" wrapText="1"/>
      <protection hidden="1"/>
    </xf>
    <xf numFmtId="0" fontId="6" fillId="10" borderId="25" xfId="0" applyFont="1" applyFill="1" applyBorder="1" applyAlignment="1" applyProtection="1">
      <alignment horizontal="center" vertical="center" wrapText="1"/>
      <protection hidden="1"/>
    </xf>
    <xf numFmtId="0" fontId="6" fillId="5" borderId="4" xfId="0" applyFont="1" applyFill="1" applyBorder="1" applyAlignment="1" applyProtection="1">
      <alignment horizontal="center" vertical="center" wrapText="1"/>
      <protection hidden="1"/>
    </xf>
    <xf numFmtId="0" fontId="6" fillId="10" borderId="8" xfId="0" applyFont="1" applyFill="1" applyBorder="1" applyAlignment="1" applyProtection="1">
      <alignment horizontal="center" vertical="center" wrapText="1"/>
      <protection hidden="1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3" fillId="4" borderId="8" xfId="0" applyFont="1" applyFill="1" applyBorder="1" applyAlignment="1" applyProtection="1">
      <alignment horizontal="center" vertical="center"/>
      <protection locked="0"/>
    </xf>
    <xf numFmtId="0" fontId="3" fillId="4" borderId="9" xfId="0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 wrapText="1"/>
      <protection hidden="1"/>
    </xf>
    <xf numFmtId="0" fontId="6" fillId="5" borderId="3" xfId="0" applyFont="1" applyFill="1" applyBorder="1" applyAlignment="1" applyProtection="1">
      <alignment horizontal="center" vertical="center" wrapText="1"/>
      <protection hidden="1"/>
    </xf>
    <xf numFmtId="0" fontId="9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9" borderId="0" xfId="0" applyFill="1" applyAlignment="1" applyProtection="1">
      <alignment horizontal="center" vertical="center"/>
      <protection locked="0"/>
    </xf>
    <xf numFmtId="0" fontId="13" fillId="8" borderId="14" xfId="0" applyFont="1" applyFill="1" applyBorder="1" applyAlignment="1" applyProtection="1">
      <alignment horizontal="center" vertical="center"/>
      <protection locked="0"/>
    </xf>
    <xf numFmtId="0" fontId="13" fillId="8" borderId="15" xfId="0" applyFont="1" applyFill="1" applyBorder="1" applyAlignment="1" applyProtection="1">
      <alignment horizontal="center" vertical="center"/>
      <protection locked="0"/>
    </xf>
    <xf numFmtId="0" fontId="13" fillId="8" borderId="5" xfId="0" applyFont="1" applyFill="1" applyBorder="1" applyAlignment="1" applyProtection="1">
      <alignment horizontal="center" vertical="center"/>
      <protection locked="0"/>
    </xf>
    <xf numFmtId="0" fontId="5" fillId="0" borderId="10" xfId="0" applyFont="1" applyBorder="1" applyAlignment="1" applyProtection="1">
      <alignment horizontal="center" vertical="center" textRotation="90"/>
      <protection hidden="1"/>
    </xf>
    <xf numFmtId="0" fontId="5" fillId="0" borderId="12" xfId="0" applyFont="1" applyBorder="1" applyAlignment="1" applyProtection="1">
      <alignment horizontal="center" vertical="center" textRotation="90"/>
      <protection hidden="1"/>
    </xf>
    <xf numFmtId="0" fontId="5" fillId="0" borderId="11" xfId="0" applyFont="1" applyBorder="1" applyAlignment="1" applyProtection="1">
      <alignment horizontal="center" vertical="center" textRotation="90"/>
      <protection hidden="1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0" fontId="6" fillId="5" borderId="3" xfId="0" applyFont="1" applyFill="1" applyBorder="1" applyAlignment="1" applyProtection="1">
      <alignment horizontal="center" vertical="center"/>
      <protection locked="0"/>
    </xf>
    <xf numFmtId="0" fontId="6" fillId="5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12" fillId="6" borderId="1" xfId="0" quotePrefix="1" applyFont="1" applyFill="1" applyBorder="1" applyAlignment="1" applyProtection="1">
      <alignment horizontal="center" vertical="center"/>
      <protection hidden="1"/>
    </xf>
    <xf numFmtId="0" fontId="12" fillId="6" borderId="1" xfId="0" applyFont="1" applyFill="1" applyBorder="1" applyAlignment="1" applyProtection="1">
      <alignment horizontal="center" vertical="center"/>
      <protection hidden="1"/>
    </xf>
    <xf numFmtId="0" fontId="6" fillId="0" borderId="1" xfId="0" applyFont="1" applyBorder="1" applyAlignment="1" applyProtection="1">
      <alignment horizontal="center" vertical="center"/>
      <protection hidden="1"/>
    </xf>
    <xf numFmtId="0" fontId="6" fillId="5" borderId="1" xfId="0" applyFont="1" applyFill="1" applyBorder="1" applyAlignment="1" applyProtection="1">
      <alignment horizontal="center" vertical="center"/>
      <protection hidden="1"/>
    </xf>
    <xf numFmtId="0" fontId="0" fillId="0" borderId="0" xfId="0" applyProtection="1">
      <protection locked="0"/>
    </xf>
    <xf numFmtId="0" fontId="0" fillId="9" borderId="0" xfId="0" applyFill="1" applyProtection="1">
      <protection locked="0"/>
    </xf>
    <xf numFmtId="0" fontId="6" fillId="10" borderId="10" xfId="0" applyFont="1" applyFill="1" applyBorder="1" applyAlignment="1" applyProtection="1">
      <alignment horizontal="center" vertical="center" wrapText="1"/>
      <protection hidden="1"/>
    </xf>
    <xf numFmtId="0" fontId="6" fillId="10" borderId="24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urcentage" xfId="1" builtinId="5"/>
  </cellStyles>
  <dxfs count="0"/>
  <tableStyles count="0" defaultTableStyle="TableStyleMedium9" defaultPivotStyle="PivotStyleLight16"/>
  <colors>
    <mruColors>
      <color rgb="FF66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45719</xdr:colOff>
      <xdr:row>9</xdr:row>
      <xdr:rowOff>15240</xdr:rowOff>
    </xdr:from>
    <xdr:to>
      <xdr:col>12</xdr:col>
      <xdr:colOff>1203960</xdr:colOff>
      <xdr:row>14</xdr:row>
      <xdr:rowOff>167640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80E30474-0A2A-E2BE-B3A7-4C917BDC6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54039" y="2072640"/>
          <a:ext cx="4892041" cy="1188720"/>
        </a:xfrm>
        <a:prstGeom prst="rect">
          <a:avLst/>
        </a:prstGeom>
        <a:ln w="19050">
          <a:solidFill>
            <a:srgbClr val="FF0000"/>
          </a:solidFill>
          <a:prstDash val="sysDash"/>
        </a:ln>
      </xdr:spPr>
    </xdr:pic>
    <xdr:clientData/>
  </xdr:twoCellAnchor>
  <xdr:twoCellAnchor editAs="oneCell">
    <xdr:from>
      <xdr:col>5</xdr:col>
      <xdr:colOff>243841</xdr:colOff>
      <xdr:row>28</xdr:row>
      <xdr:rowOff>68580</xdr:rowOff>
    </xdr:from>
    <xdr:to>
      <xdr:col>9</xdr:col>
      <xdr:colOff>250237</xdr:colOff>
      <xdr:row>39</xdr:row>
      <xdr:rowOff>167640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189CFD05-4ED3-22C2-8612-D0E543077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852161" y="6088380"/>
          <a:ext cx="2482896" cy="2125980"/>
        </a:xfrm>
        <a:prstGeom prst="rect">
          <a:avLst/>
        </a:prstGeom>
        <a:ln w="19050">
          <a:solidFill>
            <a:srgbClr val="FF0000"/>
          </a:solidFill>
          <a:prstDash val="sysDash"/>
        </a:ln>
      </xdr:spPr>
    </xdr:pic>
    <xdr:clientData/>
  </xdr:twoCellAnchor>
  <xdr:twoCellAnchor editAs="oneCell">
    <xdr:from>
      <xdr:col>5</xdr:col>
      <xdr:colOff>190501</xdr:colOff>
      <xdr:row>44</xdr:row>
      <xdr:rowOff>1</xdr:rowOff>
    </xdr:from>
    <xdr:to>
      <xdr:col>12</xdr:col>
      <xdr:colOff>597817</xdr:colOff>
      <xdr:row>50</xdr:row>
      <xdr:rowOff>121921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F1EF5444-E313-891A-3647-F57CF2C60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98821" y="9022081"/>
          <a:ext cx="4141116" cy="1432560"/>
        </a:xfrm>
        <a:prstGeom prst="rect">
          <a:avLst/>
        </a:prstGeom>
        <a:ln w="19050">
          <a:solidFill>
            <a:srgbClr val="FF0000"/>
          </a:solidFill>
          <a:prstDash val="sysDash"/>
        </a:ln>
      </xdr:spPr>
    </xdr:pic>
    <xdr:clientData/>
  </xdr:twoCellAnchor>
  <xdr:twoCellAnchor editAs="oneCell">
    <xdr:from>
      <xdr:col>6</xdr:col>
      <xdr:colOff>266700</xdr:colOff>
      <xdr:row>18</xdr:row>
      <xdr:rowOff>214167</xdr:rowOff>
    </xdr:from>
    <xdr:to>
      <xdr:col>14</xdr:col>
      <xdr:colOff>462282</xdr:colOff>
      <xdr:row>24</xdr:row>
      <xdr:rowOff>15241</xdr:rowOff>
    </xdr:to>
    <xdr:pic>
      <xdr:nvPicPr>
        <xdr:cNvPr id="7" name="Image 6">
          <a:extLst>
            <a:ext uri="{FF2B5EF4-FFF2-40B4-BE49-F238E27FC236}">
              <a16:creationId xmlns:a16="http://schemas.microsoft.com/office/drawing/2014/main" id="{17D8D6F2-F12E-CE7E-C9B2-065D228E9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94220" y="4146087"/>
          <a:ext cx="5636262" cy="1096474"/>
        </a:xfrm>
        <a:prstGeom prst="rect">
          <a:avLst/>
        </a:prstGeom>
        <a:ln w="19050">
          <a:solidFill>
            <a:srgbClr val="FF0000"/>
          </a:solidFill>
          <a:prstDash val="sysDash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>
    <pageSetUpPr fitToPage="1"/>
  </sheetPr>
  <dimension ref="A1:R86"/>
  <sheetViews>
    <sheetView showGridLines="0" tabSelected="1" zoomScaleNormal="100" workbookViewId="0">
      <selection activeCell="D62" sqref="D62"/>
    </sheetView>
  </sheetViews>
  <sheetFormatPr baseColWidth="10" defaultColWidth="8.88671875" defaultRowHeight="14.4" x14ac:dyDescent="0.3"/>
  <cols>
    <col min="1" max="1" width="18.88671875" style="1" customWidth="1"/>
    <col min="2" max="2" width="14.77734375" style="1" bestFit="1" customWidth="1"/>
    <col min="3" max="3" width="18.44140625" style="1" bestFit="1" customWidth="1"/>
    <col min="4" max="4" width="12.5546875" style="1" bestFit="1" customWidth="1"/>
    <col min="5" max="5" width="17.109375" style="1" bestFit="1" customWidth="1"/>
    <col min="6" max="6" width="17.77734375" style="1" bestFit="1" customWidth="1"/>
    <col min="7" max="10" width="6.109375" style="1" customWidth="1"/>
    <col min="11" max="12" width="6.109375" customWidth="1"/>
    <col min="13" max="13" width="33.77734375" customWidth="1"/>
    <col min="14" max="14" width="8.88671875" customWidth="1"/>
    <col min="16" max="16" width="8.88671875" style="1"/>
    <col min="17" max="17" width="3.5546875" style="1" bestFit="1" customWidth="1"/>
    <col min="18" max="18" width="23.33203125" style="1" bestFit="1" customWidth="1"/>
    <col min="19" max="16384" width="8.88671875" style="1"/>
  </cols>
  <sheetData>
    <row r="1" spans="1:7" ht="27.6" customHeight="1" x14ac:dyDescent="0.3">
      <c r="A1" s="53" t="s">
        <v>67</v>
      </c>
      <c r="B1" s="54"/>
      <c r="C1" s="54"/>
      <c r="D1" s="54"/>
      <c r="E1" s="54"/>
      <c r="F1" s="54"/>
      <c r="G1" s="55"/>
    </row>
    <row r="3" spans="1:7" ht="18.600000000000001" thickBot="1" x14ac:dyDescent="0.35">
      <c r="B3" s="59" t="s">
        <v>68</v>
      </c>
      <c r="C3" s="59"/>
    </row>
    <row r="4" spans="1:7" ht="18.600000000000001" thickBot="1" x14ac:dyDescent="0.35">
      <c r="B4" s="60" t="s">
        <v>76</v>
      </c>
      <c r="C4" s="61"/>
    </row>
    <row r="5" spans="1:7" ht="18" x14ac:dyDescent="0.3">
      <c r="B5" s="59" t="s">
        <v>69</v>
      </c>
      <c r="C5" s="59"/>
    </row>
    <row r="6" spans="1:7" ht="18" x14ac:dyDescent="0.3">
      <c r="B6" s="62" t="s">
        <v>59</v>
      </c>
      <c r="C6" s="62"/>
    </row>
    <row r="7" spans="1:7" ht="15" thickBot="1" x14ac:dyDescent="0.35"/>
    <row r="8" spans="1:7" ht="18.600000000000001" thickBot="1" x14ac:dyDescent="0.35">
      <c r="A8" s="47" t="s">
        <v>0</v>
      </c>
      <c r="B8" s="51"/>
      <c r="C8" s="51"/>
      <c r="D8" s="51"/>
      <c r="E8" s="2" t="s">
        <v>52</v>
      </c>
    </row>
    <row r="9" spans="1:7" x14ac:dyDescent="0.3">
      <c r="A9" s="63" t="s">
        <v>1</v>
      </c>
      <c r="B9" s="51"/>
      <c r="C9" s="51"/>
      <c r="D9" s="52"/>
    </row>
    <row r="10" spans="1:7" ht="18.600000000000001" customHeight="1" x14ac:dyDescent="0.3">
      <c r="D10" s="26"/>
    </row>
    <row r="11" spans="1:7" ht="15.6" x14ac:dyDescent="0.3">
      <c r="A11" s="3" t="s">
        <v>2</v>
      </c>
      <c r="B11" s="3" t="s">
        <v>3</v>
      </c>
      <c r="C11" s="3" t="s">
        <v>4</v>
      </c>
      <c r="D11" s="3" t="s">
        <v>5</v>
      </c>
    </row>
    <row r="12" spans="1:7" ht="18.600000000000001" customHeight="1" x14ac:dyDescent="0.3">
      <c r="A12" s="4" t="s">
        <v>6</v>
      </c>
      <c r="B12" s="4">
        <v>15</v>
      </c>
      <c r="C12" s="4">
        <v>8</v>
      </c>
      <c r="D12" s="27" t="s">
        <v>55</v>
      </c>
    </row>
    <row r="13" spans="1:7" x14ac:dyDescent="0.3">
      <c r="A13" s="4" t="s">
        <v>7</v>
      </c>
      <c r="B13" s="4">
        <v>50</v>
      </c>
      <c r="C13" s="4">
        <v>12</v>
      </c>
      <c r="D13" s="27" t="s">
        <v>55</v>
      </c>
    </row>
    <row r="14" spans="1:7" x14ac:dyDescent="0.3">
      <c r="A14" s="4" t="s">
        <v>8</v>
      </c>
      <c r="B14" s="4">
        <v>7</v>
      </c>
      <c r="C14" s="4">
        <v>9</v>
      </c>
      <c r="D14" s="27" t="s">
        <v>55</v>
      </c>
    </row>
    <row r="15" spans="1:7" x14ac:dyDescent="0.3">
      <c r="A15" s="4" t="s">
        <v>9</v>
      </c>
      <c r="B15" s="4">
        <v>100</v>
      </c>
      <c r="C15" s="4">
        <v>4</v>
      </c>
      <c r="D15" s="27" t="s">
        <v>55</v>
      </c>
    </row>
    <row r="16" spans="1:7" ht="18.600000000000001" customHeight="1" thickBot="1" x14ac:dyDescent="0.35"/>
    <row r="17" spans="1:10" ht="18.600000000000001" thickBot="1" x14ac:dyDescent="0.35">
      <c r="A17" s="47" t="s">
        <v>10</v>
      </c>
      <c r="B17" s="47"/>
      <c r="C17" s="47"/>
      <c r="D17" s="47"/>
      <c r="E17" s="2" t="s">
        <v>51</v>
      </c>
      <c r="F17" s="12"/>
      <c r="G17" s="12"/>
      <c r="H17" s="12"/>
      <c r="I17" s="12"/>
      <c r="J17" s="12"/>
    </row>
    <row r="18" spans="1:10" x14ac:dyDescent="0.3">
      <c r="A18" s="51" t="s">
        <v>70</v>
      </c>
      <c r="B18" s="51"/>
      <c r="C18" s="51"/>
      <c r="D18" s="51"/>
      <c r="E18" s="52"/>
      <c r="F18" s="51"/>
      <c r="G18" s="26"/>
    </row>
    <row r="19" spans="1:10" ht="18" customHeight="1" x14ac:dyDescent="0.3">
      <c r="E19" s="26"/>
      <c r="G19" s="26"/>
    </row>
    <row r="20" spans="1:10" ht="18.600000000000001" customHeight="1" x14ac:dyDescent="0.3">
      <c r="A20" s="3" t="s">
        <v>11</v>
      </c>
      <c r="B20" s="3" t="s">
        <v>12</v>
      </c>
      <c r="C20" s="3" t="s">
        <v>15</v>
      </c>
      <c r="D20" s="3" t="s">
        <v>14</v>
      </c>
      <c r="E20" s="3" t="s">
        <v>13</v>
      </c>
      <c r="F20" s="3" t="s">
        <v>74</v>
      </c>
    </row>
    <row r="21" spans="1:10" x14ac:dyDescent="0.3">
      <c r="A21" s="4" t="s">
        <v>17</v>
      </c>
      <c r="B21" s="20">
        <v>2.5</v>
      </c>
      <c r="C21" s="28">
        <v>12</v>
      </c>
      <c r="D21" s="18" t="s">
        <v>55</v>
      </c>
      <c r="E21" s="4">
        <v>20</v>
      </c>
      <c r="F21" s="6" t="s">
        <v>55</v>
      </c>
      <c r="H21" s="16"/>
      <c r="I21" s="16"/>
      <c r="J21" s="16"/>
    </row>
    <row r="22" spans="1:10" x14ac:dyDescent="0.3">
      <c r="A22" s="4" t="s">
        <v>18</v>
      </c>
      <c r="B22" s="20">
        <v>5</v>
      </c>
      <c r="C22" s="28">
        <v>8</v>
      </c>
      <c r="D22" s="18" t="s">
        <v>55</v>
      </c>
      <c r="E22" s="4">
        <v>15</v>
      </c>
      <c r="F22" s="6" t="s">
        <v>55</v>
      </c>
      <c r="H22" s="16"/>
      <c r="I22" s="16"/>
      <c r="J22" s="16"/>
    </row>
    <row r="23" spans="1:10" ht="18" customHeight="1" x14ac:dyDescent="0.3">
      <c r="A23" s="4" t="s">
        <v>19</v>
      </c>
      <c r="B23" s="20">
        <v>12</v>
      </c>
      <c r="C23" s="4">
        <v>2</v>
      </c>
      <c r="D23" s="18" t="s">
        <v>55</v>
      </c>
      <c r="E23" s="4">
        <v>5</v>
      </c>
      <c r="F23" s="6" t="s">
        <v>55</v>
      </c>
      <c r="H23" s="16"/>
      <c r="I23" s="16"/>
      <c r="J23" s="16"/>
    </row>
    <row r="24" spans="1:10" ht="18.600000000000001" customHeight="1" x14ac:dyDescent="0.3">
      <c r="A24" s="13" t="s">
        <v>20</v>
      </c>
      <c r="B24" s="21">
        <v>1.5</v>
      </c>
      <c r="C24" s="4">
        <v>15</v>
      </c>
      <c r="D24" s="18" t="s">
        <v>55</v>
      </c>
      <c r="E24" s="4">
        <v>30</v>
      </c>
      <c r="F24" s="6" t="s">
        <v>55</v>
      </c>
      <c r="H24" s="16"/>
      <c r="I24" s="16"/>
      <c r="J24" s="16"/>
    </row>
    <row r="25" spans="1:10" x14ac:dyDescent="0.3">
      <c r="A25" s="44" t="s">
        <v>21</v>
      </c>
      <c r="B25" s="45"/>
      <c r="C25" s="46"/>
      <c r="D25" s="19" t="s">
        <v>55</v>
      </c>
    </row>
    <row r="26" spans="1:10" ht="15" thickBot="1" x14ac:dyDescent="0.35"/>
    <row r="27" spans="1:10" ht="18.600000000000001" thickBot="1" x14ac:dyDescent="0.35">
      <c r="A27" s="47" t="s">
        <v>22</v>
      </c>
      <c r="B27" s="51"/>
      <c r="C27" s="51"/>
      <c r="D27" s="51"/>
      <c r="E27" s="2" t="s">
        <v>53</v>
      </c>
    </row>
    <row r="28" spans="1:10" x14ac:dyDescent="0.3">
      <c r="A28" s="51" t="s">
        <v>23</v>
      </c>
      <c r="B28" s="51"/>
      <c r="C28" s="52"/>
      <c r="D28" s="51"/>
    </row>
    <row r="29" spans="1:10" x14ac:dyDescent="0.3">
      <c r="C29" s="26"/>
    </row>
    <row r="30" spans="1:10" ht="15.6" x14ac:dyDescent="0.3">
      <c r="A30" s="3" t="s">
        <v>24</v>
      </c>
      <c r="B30" s="3" t="s">
        <v>25</v>
      </c>
      <c r="C30" s="26"/>
    </row>
    <row r="31" spans="1:10" x14ac:dyDescent="0.3">
      <c r="A31" s="4" t="s">
        <v>26</v>
      </c>
      <c r="B31" s="4">
        <v>450</v>
      </c>
      <c r="C31" s="26"/>
    </row>
    <row r="32" spans="1:10" x14ac:dyDescent="0.3">
      <c r="A32" s="4" t="s">
        <v>27</v>
      </c>
      <c r="B32" s="4">
        <v>680</v>
      </c>
    </row>
    <row r="33" spans="1:5" x14ac:dyDescent="0.3">
      <c r="A33" s="4" t="s">
        <v>28</v>
      </c>
      <c r="B33" s="4">
        <v>520</v>
      </c>
    </row>
    <row r="34" spans="1:5" x14ac:dyDescent="0.3">
      <c r="A34" s="4" t="s">
        <v>29</v>
      </c>
      <c r="B34" s="4">
        <v>790</v>
      </c>
    </row>
    <row r="35" spans="1:5" x14ac:dyDescent="0.3">
      <c r="A35" s="4" t="s">
        <v>30</v>
      </c>
      <c r="B35" s="4">
        <v>620</v>
      </c>
    </row>
    <row r="37" spans="1:5" x14ac:dyDescent="0.3">
      <c r="A37" s="5" t="s">
        <v>31</v>
      </c>
      <c r="B37" s="6" t="s">
        <v>55</v>
      </c>
    </row>
    <row r="38" spans="1:5" x14ac:dyDescent="0.3">
      <c r="A38" s="5" t="s">
        <v>32</v>
      </c>
      <c r="B38" s="6" t="s">
        <v>55</v>
      </c>
      <c r="C38" s="26"/>
    </row>
    <row r="39" spans="1:5" x14ac:dyDescent="0.3">
      <c r="A39" s="5" t="s">
        <v>33</v>
      </c>
      <c r="B39" s="6" t="s">
        <v>55</v>
      </c>
      <c r="C39" s="26"/>
    </row>
    <row r="40" spans="1:5" x14ac:dyDescent="0.3">
      <c r="A40" s="5" t="s">
        <v>34</v>
      </c>
      <c r="B40" s="6" t="s">
        <v>55</v>
      </c>
      <c r="C40" s="26"/>
    </row>
    <row r="41" spans="1:5" ht="15" thickBot="1" x14ac:dyDescent="0.35">
      <c r="C41" s="26"/>
    </row>
    <row r="42" spans="1:5" ht="18.600000000000001" thickBot="1" x14ac:dyDescent="0.35">
      <c r="A42" s="50" t="s">
        <v>45</v>
      </c>
      <c r="B42" s="51"/>
      <c r="C42" s="52"/>
      <c r="D42" s="51"/>
      <c r="E42" s="2" t="s">
        <v>54</v>
      </c>
    </row>
    <row r="43" spans="1:5" x14ac:dyDescent="0.3">
      <c r="A43" s="68" t="s">
        <v>37</v>
      </c>
      <c r="B43" s="68"/>
      <c r="C43" s="69"/>
      <c r="D43" s="68"/>
    </row>
    <row r="44" spans="1:5" x14ac:dyDescent="0.3">
      <c r="A44" s="7"/>
      <c r="B44" s="7"/>
      <c r="C44" s="7"/>
      <c r="D44" s="7"/>
    </row>
    <row r="45" spans="1:5" ht="31.2" x14ac:dyDescent="0.3">
      <c r="A45" s="8" t="s">
        <v>38</v>
      </c>
      <c r="B45" s="8" t="s">
        <v>39</v>
      </c>
      <c r="C45" s="17" t="s">
        <v>40</v>
      </c>
      <c r="D45" s="7"/>
    </row>
    <row r="46" spans="1:5" x14ac:dyDescent="0.3">
      <c r="A46" s="4" t="s">
        <v>41</v>
      </c>
      <c r="B46" s="4">
        <v>2500</v>
      </c>
      <c r="C46" s="9" t="s">
        <v>55</v>
      </c>
      <c r="D46" s="7"/>
    </row>
    <row r="47" spans="1:5" x14ac:dyDescent="0.3">
      <c r="A47" s="4" t="s">
        <v>42</v>
      </c>
      <c r="B47" s="4">
        <v>800</v>
      </c>
      <c r="C47" s="9" t="s">
        <v>55</v>
      </c>
      <c r="D47" s="7"/>
    </row>
    <row r="48" spans="1:5" x14ac:dyDescent="0.3">
      <c r="A48" s="4" t="s">
        <v>43</v>
      </c>
      <c r="B48" s="4">
        <v>1200</v>
      </c>
      <c r="C48" s="9" t="s">
        <v>55</v>
      </c>
      <c r="D48" s="7"/>
    </row>
    <row r="49" spans="1:10" x14ac:dyDescent="0.3">
      <c r="A49" s="4" t="s">
        <v>44</v>
      </c>
      <c r="B49" s="4">
        <v>600</v>
      </c>
      <c r="C49" s="9" t="s">
        <v>55</v>
      </c>
      <c r="D49" s="7"/>
    </row>
    <row r="50" spans="1:10" x14ac:dyDescent="0.3">
      <c r="A50" s="4" t="s">
        <v>71</v>
      </c>
      <c r="B50" s="4">
        <v>400</v>
      </c>
      <c r="C50" s="9" t="s">
        <v>55</v>
      </c>
      <c r="D50" s="7"/>
    </row>
    <row r="51" spans="1:10" x14ac:dyDescent="0.3">
      <c r="A51" s="10" t="s">
        <v>21</v>
      </c>
      <c r="B51" s="11" t="s">
        <v>55</v>
      </c>
      <c r="D51" s="7"/>
    </row>
    <row r="53" spans="1:10" s="22" customFormat="1" x14ac:dyDescent="0.3"/>
    <row r="54" spans="1:10" x14ac:dyDescent="0.3">
      <c r="A54" s="14"/>
      <c r="B54" s="14"/>
      <c r="C54" s="14"/>
      <c r="D54" s="14"/>
      <c r="E54" s="14"/>
      <c r="F54" s="14"/>
      <c r="G54" s="14"/>
      <c r="H54" s="14"/>
      <c r="I54" s="14"/>
      <c r="J54" s="14"/>
    </row>
    <row r="55" spans="1:10" ht="18" x14ac:dyDescent="0.3">
      <c r="A55" s="14"/>
      <c r="B55" s="14"/>
      <c r="C55" s="66" t="s">
        <v>56</v>
      </c>
      <c r="D55" s="66"/>
      <c r="E55" s="14"/>
      <c r="F55" s="14"/>
      <c r="G55" s="14"/>
      <c r="H55" s="14"/>
      <c r="I55" s="14"/>
      <c r="J55" s="14"/>
    </row>
    <row r="56" spans="1:10" ht="18" x14ac:dyDescent="0.3">
      <c r="A56" s="14"/>
      <c r="B56" s="14"/>
      <c r="C56" s="64" t="str">
        <f>B4</f>
        <v>…..........................................................</v>
      </c>
      <c r="D56" s="65"/>
      <c r="E56" s="14"/>
      <c r="F56" s="14"/>
      <c r="G56" s="14"/>
      <c r="H56" s="14"/>
      <c r="I56" s="14"/>
      <c r="J56" s="14"/>
    </row>
    <row r="57" spans="1:10" ht="18" x14ac:dyDescent="0.3">
      <c r="A57" s="14"/>
      <c r="B57" s="14"/>
      <c r="C57" s="66" t="s">
        <v>57</v>
      </c>
      <c r="D57" s="66"/>
      <c r="E57" s="14"/>
      <c r="F57" s="14"/>
      <c r="G57" s="14"/>
      <c r="H57" s="14"/>
      <c r="I57" s="14"/>
      <c r="J57" s="14"/>
    </row>
    <row r="58" spans="1:10" ht="18" x14ac:dyDescent="0.3">
      <c r="A58" s="14"/>
      <c r="B58" s="14"/>
      <c r="C58" s="67" t="str">
        <f>B6</f>
        <v>2/1</v>
      </c>
      <c r="D58" s="67"/>
      <c r="E58" s="14"/>
      <c r="F58" s="14"/>
      <c r="G58" s="14"/>
      <c r="H58" s="14"/>
      <c r="I58" s="14"/>
      <c r="J58" s="14"/>
    </row>
    <row r="59" spans="1:10" ht="15" thickBot="1" x14ac:dyDescent="0.35">
      <c r="A59" s="14"/>
      <c r="B59" s="14"/>
      <c r="C59" s="14"/>
      <c r="D59" s="14"/>
      <c r="E59" s="14"/>
      <c r="F59" s="14"/>
      <c r="G59" s="14"/>
      <c r="H59" s="14"/>
      <c r="I59" s="14"/>
      <c r="J59" s="14"/>
    </row>
    <row r="60" spans="1:10" ht="33" customHeight="1" thickBot="1" x14ac:dyDescent="0.35">
      <c r="A60" s="14"/>
      <c r="B60" s="14"/>
      <c r="C60" s="48" t="s">
        <v>46</v>
      </c>
      <c r="D60" s="49"/>
      <c r="E60" s="14"/>
      <c r="F60" s="14"/>
      <c r="G60" s="14"/>
      <c r="H60" s="14"/>
      <c r="I60" s="14"/>
      <c r="J60" s="14"/>
    </row>
    <row r="61" spans="1:10" ht="18.600000000000001" thickBot="1" x14ac:dyDescent="0.35">
      <c r="A61" s="14"/>
      <c r="B61" s="14"/>
      <c r="C61" s="30" t="s">
        <v>35</v>
      </c>
      <c r="D61" s="29" t="s">
        <v>36</v>
      </c>
      <c r="E61" s="42" t="s">
        <v>75</v>
      </c>
      <c r="F61" s="42"/>
      <c r="G61" s="14"/>
      <c r="H61" s="14"/>
      <c r="I61" s="14"/>
      <c r="J61" s="14"/>
    </row>
    <row r="62" spans="1:10" ht="18" x14ac:dyDescent="0.3">
      <c r="A62" s="14"/>
      <c r="B62" s="56" t="s">
        <v>47</v>
      </c>
      <c r="C62" s="32" t="s">
        <v>6</v>
      </c>
      <c r="D62" s="31">
        <f>IF(AND(_xlfn.ISFORMULA(D12),D12=B12+C12),1,0)</f>
        <v>0</v>
      </c>
      <c r="E62" s="70" t="e">
        <f ca="1">_xlfn.FORMULATEXT(D12)</f>
        <v>#N/A</v>
      </c>
      <c r="F62" s="70"/>
      <c r="G62" s="14"/>
      <c r="H62" s="14"/>
      <c r="I62" s="14"/>
      <c r="J62" s="14"/>
    </row>
    <row r="63" spans="1:10" ht="18" x14ac:dyDescent="0.3">
      <c r="A63" s="14"/>
      <c r="B63" s="58"/>
      <c r="C63" s="36" t="s">
        <v>7</v>
      </c>
      <c r="D63" s="33">
        <f>IF(AND(_xlfn.ISFORMULA(D13),D13=B13-C13),1,0)</f>
        <v>0</v>
      </c>
      <c r="E63" s="71" t="e">
        <f t="shared" ref="E63:E64" ca="1" si="0">_xlfn.FORMULATEXT(D13)</f>
        <v>#N/A</v>
      </c>
      <c r="F63" s="71"/>
      <c r="G63" s="14"/>
      <c r="H63" s="14"/>
      <c r="I63" s="14"/>
      <c r="J63" s="14"/>
    </row>
    <row r="64" spans="1:10" ht="18" x14ac:dyDescent="0.3">
      <c r="A64" s="14"/>
      <c r="B64" s="58"/>
      <c r="C64" s="36" t="s">
        <v>8</v>
      </c>
      <c r="D64" s="33">
        <f>IF(AND(_xlfn.ISFORMULA(D14),D14=B14*C14),1,0)</f>
        <v>0</v>
      </c>
      <c r="E64" s="71" t="e">
        <f t="shared" ca="1" si="0"/>
        <v>#N/A</v>
      </c>
      <c r="F64" s="71"/>
      <c r="G64" s="14"/>
      <c r="H64" s="14"/>
      <c r="I64" s="14"/>
      <c r="J64" s="14"/>
    </row>
    <row r="65" spans="1:18" ht="18.600000000000001" thickBot="1" x14ac:dyDescent="0.35">
      <c r="A65" s="14"/>
      <c r="B65" s="57"/>
      <c r="C65" s="37" t="s">
        <v>9</v>
      </c>
      <c r="D65" s="34">
        <f>IF(AND(_xlfn.ISFORMULA(D15),D15=B15/C15),1,0)</f>
        <v>0</v>
      </c>
      <c r="E65" s="71" t="e">
        <f ca="1">_xlfn.FORMULATEXT(D15)</f>
        <v>#N/A</v>
      </c>
      <c r="F65" s="71"/>
      <c r="G65" s="14"/>
      <c r="H65" s="14"/>
      <c r="I65" s="14"/>
      <c r="J65" s="14"/>
    </row>
    <row r="66" spans="1:18" ht="18" x14ac:dyDescent="0.3">
      <c r="A66" s="14"/>
      <c r="B66" s="56" t="s">
        <v>48</v>
      </c>
      <c r="C66" s="38" t="s">
        <v>14</v>
      </c>
      <c r="D66" s="33">
        <f>IF(AND(_xlfn.ISFORMULA(D21),D21=B21*C21),2,0)</f>
        <v>0</v>
      </c>
      <c r="E66" s="40" t="e">
        <f ca="1">_xlfn.FORMULATEXT(D21)</f>
        <v>#N/A</v>
      </c>
      <c r="F66" s="40"/>
      <c r="G66" s="14"/>
      <c r="H66" s="14"/>
      <c r="I66" s="14"/>
      <c r="J66" s="14"/>
    </row>
    <row r="67" spans="1:18" ht="18" x14ac:dyDescent="0.3">
      <c r="A67" s="14"/>
      <c r="B67" s="58"/>
      <c r="C67" s="36" t="s">
        <v>16</v>
      </c>
      <c r="D67" s="33">
        <f>IF(AND(_xlfn.ISFORMULA(F21),F21=E21-C21),2,0)</f>
        <v>0</v>
      </c>
      <c r="E67" s="43" t="e">
        <f ca="1">_xlfn.FORMULATEXT(F21)</f>
        <v>#N/A</v>
      </c>
      <c r="F67" s="43"/>
      <c r="G67" s="14"/>
      <c r="H67" s="14"/>
      <c r="I67" s="14"/>
      <c r="J67" s="14"/>
    </row>
    <row r="68" spans="1:18" ht="18.600000000000001" thickBot="1" x14ac:dyDescent="0.35">
      <c r="A68" s="14"/>
      <c r="B68" s="57"/>
      <c r="C68" s="37" t="s">
        <v>21</v>
      </c>
      <c r="D68" s="34">
        <f>IF(AND(_xlfn.ISFORMULA(D25),D25=SUM(D21:D24)),2,0)</f>
        <v>0</v>
      </c>
      <c r="E68" s="39" t="e">
        <f ca="1">_xlfn.FORMULATEXT(D25)</f>
        <v>#N/A</v>
      </c>
      <c r="F68" s="39"/>
      <c r="G68" s="14"/>
      <c r="H68" s="14"/>
      <c r="I68" s="14"/>
      <c r="J68" s="14"/>
    </row>
    <row r="69" spans="1:18" ht="18" x14ac:dyDescent="0.3">
      <c r="A69" s="14"/>
      <c r="B69" s="56" t="s">
        <v>49</v>
      </c>
      <c r="C69" s="38" t="s">
        <v>31</v>
      </c>
      <c r="D69" s="33">
        <f>IF(AND(_xlfn.ISFORMULA(B37),B37=SUM(B31:B35)),2,0)</f>
        <v>0</v>
      </c>
      <c r="E69" s="40" t="e">
        <f ca="1">_xlfn.FORMULATEXT(B37)</f>
        <v>#N/A</v>
      </c>
      <c r="F69" s="40"/>
      <c r="G69" s="14"/>
      <c r="H69" s="14"/>
      <c r="I69" s="14"/>
      <c r="J69" s="14"/>
    </row>
    <row r="70" spans="1:18" ht="18" x14ac:dyDescent="0.3">
      <c r="A70" s="14"/>
      <c r="B70" s="58"/>
      <c r="C70" s="36" t="s">
        <v>32</v>
      </c>
      <c r="D70" s="33">
        <f>IF(AND(_xlfn.ISFORMULA(B38),B38=AVERAGE(B31:B35)),2,0)</f>
        <v>0</v>
      </c>
      <c r="E70" s="43" t="e">
        <f t="shared" ref="E70:E72" ca="1" si="1">_xlfn.FORMULATEXT(B38)</f>
        <v>#N/A</v>
      </c>
      <c r="F70" s="43"/>
      <c r="G70" s="14"/>
      <c r="H70" s="14"/>
      <c r="I70" s="14"/>
      <c r="J70" s="14"/>
    </row>
    <row r="71" spans="1:18" ht="18" x14ac:dyDescent="0.3">
      <c r="A71" s="14"/>
      <c r="B71" s="58"/>
      <c r="C71" s="36" t="s">
        <v>33</v>
      </c>
      <c r="D71" s="33">
        <f>IF(AND(_xlfn.ISFORMULA(B39),B39=MAX(B31:B35)),2,0)</f>
        <v>0</v>
      </c>
      <c r="E71" s="43" t="e">
        <f t="shared" ca="1" si="1"/>
        <v>#N/A</v>
      </c>
      <c r="F71" s="43"/>
      <c r="G71" s="14"/>
      <c r="H71" s="14"/>
      <c r="I71" s="14"/>
      <c r="J71" s="14"/>
    </row>
    <row r="72" spans="1:18" ht="18.600000000000001" thickBot="1" x14ac:dyDescent="0.35">
      <c r="A72" s="14"/>
      <c r="B72" s="57"/>
      <c r="C72" s="37" t="s">
        <v>34</v>
      </c>
      <c r="D72" s="35">
        <f>IF(AND(_xlfn.ISFORMULA(B40),B40=MIN(B31:B35)),2,0)</f>
        <v>0</v>
      </c>
      <c r="E72" s="39" t="e">
        <f t="shared" ca="1" si="1"/>
        <v>#N/A</v>
      </c>
      <c r="F72" s="39"/>
      <c r="G72" s="14"/>
      <c r="H72" s="14"/>
      <c r="I72" s="14"/>
      <c r="J72" s="14"/>
    </row>
    <row r="73" spans="1:18" ht="18" x14ac:dyDescent="0.3">
      <c r="A73" s="14"/>
      <c r="B73" s="56" t="s">
        <v>50</v>
      </c>
      <c r="C73" s="38" t="s">
        <v>40</v>
      </c>
      <c r="D73" s="31">
        <f>IFERROR(IF(AND(_xlfn.ISFORMULA(C46),C46=B46/B$51),1,0),0)</f>
        <v>0</v>
      </c>
      <c r="E73" s="40" t="e">
        <f ca="1">_xlfn.FORMULATEXT(C46)</f>
        <v>#N/A</v>
      </c>
      <c r="F73" s="40"/>
      <c r="G73" s="14"/>
      <c r="H73" s="14"/>
      <c r="I73" s="14"/>
      <c r="J73" s="14"/>
    </row>
    <row r="74" spans="1:18" ht="18.600000000000001" thickBot="1" x14ac:dyDescent="0.35">
      <c r="A74" s="14"/>
      <c r="B74" s="57"/>
      <c r="C74" s="37" t="s">
        <v>21</v>
      </c>
      <c r="D74" s="34">
        <f>IF(AND(_xlfn.ISFORMULA(B51),B51=SUM(B46:B50)),1,0)</f>
        <v>0</v>
      </c>
      <c r="E74" s="41" t="e">
        <f ca="1">_xlfn.FORMULATEXT(B51)</f>
        <v>#N/A</v>
      </c>
      <c r="F74" s="41"/>
      <c r="G74" s="14"/>
      <c r="H74" s="14"/>
      <c r="I74" s="14"/>
      <c r="J74" s="14"/>
    </row>
    <row r="75" spans="1:18" ht="37.200000000000003" customHeight="1" thickBot="1" x14ac:dyDescent="0.35">
      <c r="A75" s="14"/>
      <c r="B75" s="25" t="s">
        <v>73</v>
      </c>
      <c r="C75" s="24">
        <f>SUM(D62:D74)</f>
        <v>0</v>
      </c>
      <c r="D75" s="23" t="s">
        <v>72</v>
      </c>
      <c r="E75" s="14"/>
      <c r="F75" s="14"/>
      <c r="G75" s="14"/>
      <c r="H75" s="14"/>
      <c r="I75" s="14"/>
      <c r="J75" s="14"/>
    </row>
    <row r="76" spans="1:18" x14ac:dyDescent="0.3">
      <c r="A76" s="14"/>
      <c r="B76" s="14"/>
      <c r="C76" s="14"/>
      <c r="D76" s="14"/>
      <c r="E76" s="14"/>
      <c r="F76" s="14"/>
      <c r="G76" s="14"/>
      <c r="H76" s="14"/>
      <c r="I76" s="14"/>
      <c r="J76" s="14"/>
    </row>
    <row r="77" spans="1:18" s="22" customFormat="1" x14ac:dyDescent="0.3"/>
    <row r="78" spans="1:18" x14ac:dyDescent="0.3">
      <c r="R78" s="15" t="s">
        <v>59</v>
      </c>
    </row>
    <row r="79" spans="1:18" x14ac:dyDescent="0.3">
      <c r="R79" s="15" t="s">
        <v>58</v>
      </c>
    </row>
    <row r="80" spans="1:18" x14ac:dyDescent="0.3">
      <c r="R80" s="15" t="s">
        <v>60</v>
      </c>
    </row>
    <row r="81" spans="18:18" x14ac:dyDescent="0.3">
      <c r="R81" s="15" t="s">
        <v>61</v>
      </c>
    </row>
    <row r="82" spans="18:18" x14ac:dyDescent="0.3">
      <c r="R82" s="15" t="s">
        <v>62</v>
      </c>
    </row>
    <row r="83" spans="18:18" x14ac:dyDescent="0.3">
      <c r="R83" s="15" t="s">
        <v>63</v>
      </c>
    </row>
    <row r="84" spans="18:18" x14ac:dyDescent="0.3">
      <c r="R84" s="15" t="s">
        <v>64</v>
      </c>
    </row>
    <row r="85" spans="18:18" x14ac:dyDescent="0.3">
      <c r="R85" s="15" t="s">
        <v>65</v>
      </c>
    </row>
    <row r="86" spans="18:18" x14ac:dyDescent="0.3">
      <c r="R86" s="15" t="s">
        <v>66</v>
      </c>
    </row>
  </sheetData>
  <sheetProtection algorithmName="SHA-512" hashValue="7trTlOP8u8EYvmMGJGwO6puJgcTB7tAV3L1bUwPzwryjID67ucj4FhUC/4CmeOYnf92xHpRI+cj2RhxzLOvzfg==" saltValue="y/TITvL5U63oCJBQhdbXhQ==" spinCount="100000" sheet="1" objects="1" scenarios="1"/>
  <mergeCells count="37">
    <mergeCell ref="A1:G1"/>
    <mergeCell ref="B73:B74"/>
    <mergeCell ref="B69:B72"/>
    <mergeCell ref="B66:B68"/>
    <mergeCell ref="B62:B65"/>
    <mergeCell ref="B3:C3"/>
    <mergeCell ref="B4:C4"/>
    <mergeCell ref="B5:C5"/>
    <mergeCell ref="B6:C6"/>
    <mergeCell ref="A9:D9"/>
    <mergeCell ref="A8:D8"/>
    <mergeCell ref="C56:D56"/>
    <mergeCell ref="C57:D57"/>
    <mergeCell ref="C58:D58"/>
    <mergeCell ref="C55:D55"/>
    <mergeCell ref="A43:D43"/>
    <mergeCell ref="A25:C25"/>
    <mergeCell ref="A17:D17"/>
    <mergeCell ref="C60:D60"/>
    <mergeCell ref="A42:D42"/>
    <mergeCell ref="A28:D28"/>
    <mergeCell ref="A18:F18"/>
    <mergeCell ref="A27:D27"/>
    <mergeCell ref="E72:F72"/>
    <mergeCell ref="E73:F73"/>
    <mergeCell ref="E74:F74"/>
    <mergeCell ref="E61:F61"/>
    <mergeCell ref="E67:F67"/>
    <mergeCell ref="E68:F68"/>
    <mergeCell ref="E69:F69"/>
    <mergeCell ref="E70:F70"/>
    <mergeCell ref="E71:F71"/>
    <mergeCell ref="E62:F62"/>
    <mergeCell ref="E63:F63"/>
    <mergeCell ref="E64:F64"/>
    <mergeCell ref="E65:F65"/>
    <mergeCell ref="E66:F66"/>
  </mergeCells>
  <phoneticPr fontId="8" type="noConversion"/>
  <dataValidations count="1">
    <dataValidation type="list" allowBlank="1" showInputMessage="1" showErrorMessage="1" sqref="B6:C6" xr:uid="{34AED608-6294-4A0F-A9AD-A31994B877D7}">
      <formula1>$R$78:$R$86</formula1>
    </dataValidation>
  </dataValidations>
  <pageMargins left="0.25" right="0.25" top="0.75" bottom="0.75" header="0.3" footer="0.3"/>
  <pageSetup paperSize="9" scale="5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CC1-S2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abdellah TAHTOH</dc:creator>
  <cp:lastModifiedBy>ABDELLAH.TAHTOH</cp:lastModifiedBy>
  <cp:lastPrinted>2026-02-15T19:28:54Z</cp:lastPrinted>
  <dcterms:created xsi:type="dcterms:W3CDTF">2026-02-02T23:24:09Z</dcterms:created>
  <dcterms:modified xsi:type="dcterms:W3CDTF">2026-03-26T21:24:46Z</dcterms:modified>
</cp:coreProperties>
</file>